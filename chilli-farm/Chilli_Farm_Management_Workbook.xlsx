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DASHBOARD" sheetId="2" state="visible" r:id="rId2"/>
    <sheet name="02_DAILY_CHECKLIST" sheetId="3" state="visible" r:id="rId3"/>
    <sheet name="03_WEEKLY_CHECKLIST" sheetId="4" state="visible" r:id="rId4"/>
    <sheet name="04_CYCLE_CHECKLIST" sheetId="5" state="visible" r:id="rId5"/>
    <sheet name="05_PRODUCTION" sheetId="6" state="visible" r:id="rId6"/>
    <sheet name="06_FINANCIALS" sheetId="7" state="visible" r:id="rId7"/>
    <sheet name="07_WATER_FERTILIZER" sheetId="8" state="visible" r:id="rId8"/>
    <sheet name="08_PEST_DISEASE" sheetId="9" state="visible" r:id="rId9"/>
    <sheet name="09_HARVEST_QUALITY" sheetId="10" state="visible" r:id="rId10"/>
    <sheet name="10_MARKET_SALES" sheetId="11" state="visible" r:id="rId11"/>
    <sheet name="11_SCALING_ROADMAP" sheetId="12" state="visible" r:id="rId12"/>
    <sheet name="12_MASTER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6"/>
    </font>
    <font>
      <b val="1"/>
      <color rgb="001F4E79"/>
      <sz val="14"/>
    </font>
    <font>
      <b val="1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D0CEC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🌶️ CHILLI FARM MANAGEMENT WORKBOOK</t>
        </is>
      </c>
    </row>
    <row r="3">
      <c r="A3" t="inlineStr">
        <is>
          <t>Mapped to 9-Domain Success Framework | Cili Kulai Polybag | Malaysia</t>
        </is>
      </c>
    </row>
    <row r="5">
      <c r="A5" s="2" t="inlineStr">
        <is>
          <t>HOW TO USE</t>
        </is>
      </c>
    </row>
    <row r="6">
      <c r="A6" s="3" t="inlineStr">
        <is>
          <t>1</t>
        </is>
      </c>
      <c r="B6" t="inlineStr">
        <is>
          <t>Start on sheet 01_DASHBOARD — enter farm name, cycle dates, plant count.</t>
        </is>
      </c>
    </row>
    <row r="7">
      <c r="A7" s="3" t="inlineStr">
        <is>
          <t>2</t>
        </is>
      </c>
      <c r="B7" t="inlineStr">
        <is>
          <t>Use 02_DAILY_CHECKLIST every morning (15 min). Mark Status: Done / Issue.</t>
        </is>
      </c>
    </row>
    <row r="8">
      <c r="A8" s="3" t="inlineStr">
        <is>
          <t>3</t>
        </is>
      </c>
      <c r="B8" t="inlineStr">
        <is>
          <t>Use 03_WEEKLY_CHECKLIST once per week (Sunday recommended).</t>
        </is>
      </c>
    </row>
    <row r="9">
      <c r="A9" s="3" t="inlineStr">
        <is>
          <t>4</t>
        </is>
      </c>
      <c r="B9" t="inlineStr">
        <is>
          <t>Use 04_CYCLE_CHECKLIST at each crop stage gate (sow → transplant → harvest).</t>
        </is>
      </c>
    </row>
    <row r="10">
      <c r="A10" s="3" t="inlineStr">
        <is>
          <t>5</t>
        </is>
      </c>
      <c r="B10" t="inlineStr">
        <is>
          <t>Log data in sheets 05–10 as events happen (water, pests, harvest, sales).</t>
        </is>
      </c>
    </row>
    <row r="11">
      <c r="A11" s="3" t="inlineStr">
        <is>
          <t>6</t>
        </is>
      </c>
      <c r="B11" t="inlineStr">
        <is>
          <t>Review 01_DASHBOARD monthly — update KPIs and financial summary.</t>
        </is>
      </c>
    </row>
    <row r="12">
      <c r="A12" s="3" t="inlineStr">
        <is>
          <t>7</t>
        </is>
      </c>
      <c r="B12" t="inlineStr">
        <is>
          <t>Use 11_SCALING_ROADMAP when ready to expand beyond baseline.</t>
        </is>
      </c>
    </row>
    <row r="13">
      <c r="A13" s="3" t="inlineStr">
        <is>
          <t>8</t>
        </is>
      </c>
      <c r="B13" t="inlineStr">
        <is>
          <t>Sheet 12_MASTER_INDEX lists every item in the 9×9 framework.</t>
        </is>
      </c>
    </row>
    <row r="14">
      <c r="A14" s="3" t="inlineStr"/>
      <c r="B14" t="inlineStr"/>
    </row>
    <row r="15">
      <c r="A15" s="3" t="inlineStr">
        <is>
          <t>TIP</t>
        </is>
      </c>
      <c r="B15" t="inlineStr">
        <is>
          <t>Duplicate this file per crop cycle: Chilli_Cycle1_2026.xlsx</t>
        </is>
      </c>
    </row>
    <row r="16">
      <c r="A16" s="3" t="inlineStr">
        <is>
          <t>TIP</t>
        </is>
      </c>
      <c r="B16" t="inlineStr">
        <is>
          <t>Red 'Issue' status = action needed before next checklist.</t>
        </is>
      </c>
    </row>
    <row r="17">
      <c r="A17" s="3" t="inlineStr">
        <is>
          <t>TIP</t>
        </is>
      </c>
      <c r="B17" t="inlineStr">
        <is>
          <t>Targets are for ~50–200 polybag home/small farm. Adjust in Dashboard.</t>
        </is>
      </c>
    </row>
    <row r="22">
      <c r="A22" s="2" t="inlineStr">
        <is>
          <t>SHEET INDEX</t>
        </is>
      </c>
    </row>
    <row r="23">
      <c r="A23" s="4" t="inlineStr">
        <is>
          <t>Sheet</t>
        </is>
      </c>
      <c r="B23" s="4" t="inlineStr">
        <is>
          <t>Purpose</t>
        </is>
      </c>
    </row>
    <row r="24">
      <c r="A24" t="inlineStr">
        <is>
          <t>01_DASHBOARD</t>
        </is>
      </c>
      <c r="B24" t="inlineStr">
        <is>
          <t>KPI summary, targets, financial snapshot</t>
        </is>
      </c>
    </row>
    <row r="25">
      <c r="A25" t="inlineStr">
        <is>
          <t>02_DAILY_CHECKLIST</t>
        </is>
      </c>
      <c r="B25" t="inlineStr">
        <is>
          <t>Daily farm operations (9 domains)</t>
        </is>
      </c>
    </row>
    <row r="26">
      <c r="A26" t="inlineStr">
        <is>
          <t>03_WEEKLY_CHECKLIST</t>
        </is>
      </c>
      <c r="B26" t="inlineStr">
        <is>
          <t>Weekly reviews and deeper checks</t>
        </is>
      </c>
    </row>
    <row r="27">
      <c r="A27" t="inlineStr">
        <is>
          <t>04_CYCLE_CHECKLIST</t>
        </is>
      </c>
      <c r="B27" t="inlineStr">
        <is>
          <t>Stage-gate tasks: nursery → harvest → reset</t>
        </is>
      </c>
    </row>
    <row r="28">
      <c r="A28" t="inlineStr">
        <is>
          <t>05_PRODUCTION</t>
        </is>
      </c>
      <c r="B28" t="inlineStr">
        <is>
          <t>Variety, density, growth stage tracker</t>
        </is>
      </c>
    </row>
    <row r="29">
      <c r="A29" t="inlineStr">
        <is>
          <t>06_FINANCIALS</t>
        </is>
      </c>
      <c r="B29" t="inlineStr">
        <is>
          <t>CAPEX, OPEX, cost/kg, profit, ROI</t>
        </is>
      </c>
    </row>
    <row r="30">
      <c r="A30" t="inlineStr">
        <is>
          <t>07_WATER_FERTILIZER</t>
        </is>
      </c>
      <c r="B30" t="inlineStr">
        <is>
          <t>EC, pH, volume, feed log</t>
        </is>
      </c>
    </row>
    <row r="31">
      <c r="A31" t="inlineStr">
        <is>
          <t>08_PEST_DISEASE</t>
        </is>
      </c>
      <c r="B31" t="inlineStr">
        <is>
          <t>Scouting, ID, treatment, loss</t>
        </is>
      </c>
    </row>
    <row r="32">
      <c r="A32" t="inlineStr">
        <is>
          <t>09_HARVEST_QUALITY</t>
        </is>
      </c>
      <c r="B32" t="inlineStr">
        <is>
          <t>Pick log, grading, rejects</t>
        </is>
      </c>
    </row>
    <row r="33">
      <c r="A33" t="inlineStr">
        <is>
          <t>10_MARKET_SALES</t>
        </is>
      </c>
      <c r="B33" t="inlineStr">
        <is>
          <t>Buyers, price, quantity, revenue</t>
        </is>
      </c>
    </row>
    <row r="34">
      <c r="A34" t="inlineStr">
        <is>
          <t>11_SCALING_ROADMAP</t>
        </is>
      </c>
      <c r="B34" t="inlineStr">
        <is>
          <t>Start small → prove profit → expand</t>
        </is>
      </c>
    </row>
    <row r="35">
      <c r="A35" t="inlineStr">
        <is>
          <t>12_MASTER_INDEX</t>
        </is>
      </c>
      <c r="B35" t="inlineStr">
        <is>
          <t>Full 9-domain framework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4" customWidth="1" min="4" max="4"/>
  </cols>
  <sheetData>
    <row r="1">
      <c r="A1" s="2" t="inlineStr">
        <is>
          <t>FARM KPI DASHBOARD</t>
        </is>
      </c>
    </row>
    <row r="3">
      <c r="A3" s="5" t="inlineStr">
        <is>
          <t>Field</t>
        </is>
      </c>
      <c r="B3" s="5" t="inlineStr">
        <is>
          <t>Value</t>
        </is>
      </c>
    </row>
    <row r="4">
      <c r="A4" s="3" t="inlineStr">
        <is>
          <t>Farm / Operator</t>
        </is>
      </c>
      <c r="B4" t="inlineStr"/>
    </row>
    <row r="5">
      <c r="A5" s="3" t="inlineStr">
        <is>
          <t>Location</t>
        </is>
      </c>
      <c r="B5" t="inlineStr"/>
    </row>
    <row r="6">
      <c r="A6" s="3" t="inlineStr">
        <is>
          <t>Variety</t>
        </is>
      </c>
      <c r="B6" t="inlineStr">
        <is>
          <t>Cili Kulai</t>
        </is>
      </c>
    </row>
    <row r="7">
      <c r="A7" s="3" t="inlineStr">
        <is>
          <t>Cycle #</t>
        </is>
      </c>
      <c r="B7" t="inlineStr">
        <is>
          <t>1</t>
        </is>
      </c>
    </row>
    <row r="8">
      <c r="A8" s="3" t="inlineStr">
        <is>
          <t>Cycle Start (sow date)</t>
        </is>
      </c>
      <c r="B8" t="inlineStr"/>
    </row>
    <row r="9">
      <c r="A9" s="3" t="inlineStr">
        <is>
          <t>Transplant Date</t>
        </is>
      </c>
      <c r="B9" t="inlineStr"/>
    </row>
    <row r="10">
      <c r="A10" s="3" t="inlineStr">
        <is>
          <t>Target Harvest Start</t>
        </is>
      </c>
      <c r="B10" t="inlineStr"/>
    </row>
    <row r="11">
      <c r="A11" s="3" t="inlineStr">
        <is>
          <t>Number of Polybags</t>
        </is>
      </c>
      <c r="B11" t="inlineStr">
        <is>
          <t>100</t>
        </is>
      </c>
    </row>
    <row r="12">
      <c r="A12" s="3" t="inlineStr">
        <is>
          <t>Plants Alive (current)</t>
        </is>
      </c>
      <c r="B12" t="inlineStr"/>
    </row>
    <row r="13">
      <c r="A13" s="3" t="inlineStr">
        <is>
          <t>Polybag Size (L)</t>
        </is>
      </c>
      <c r="B13" t="inlineStr">
        <is>
          <t>7</t>
        </is>
      </c>
    </row>
    <row r="14">
      <c r="A14" s="3" t="inlineStr">
        <is>
          <t>Saleable Yield Target (kg)</t>
        </is>
      </c>
      <c r="B14" t="inlineStr"/>
    </row>
    <row r="15">
      <c r="A15" s="3" t="inlineStr">
        <is>
          <t>Sale Price Target (RM/kg)</t>
        </is>
      </c>
      <c r="B15" t="inlineStr">
        <is>
          <t>12</t>
        </is>
      </c>
    </row>
    <row r="18">
      <c r="A18" s="2" t="inlineStr">
        <is>
          <t>LIVE KPIs (auto-calculated where linked)</t>
        </is>
      </c>
    </row>
    <row r="19">
      <c r="A19" s="4" t="inlineStr">
        <is>
          <t>KPI</t>
        </is>
      </c>
      <c r="B19" s="4" t="inlineStr">
        <is>
          <t>Target</t>
        </is>
      </c>
      <c r="C19" s="4" t="inlineStr">
        <is>
          <t>Actual</t>
        </is>
      </c>
      <c r="D19" s="4" t="inlineStr">
        <is>
          <t>Status</t>
        </is>
      </c>
    </row>
    <row r="20">
      <c r="A20" t="inlineStr">
        <is>
          <t>Plant survival rate (%)</t>
        </is>
      </c>
      <c r="B20" t="inlineStr">
        <is>
          <t>≥90%</t>
        </is>
      </c>
      <c r="C20">
        <f>IF(B8=0,"",IFERROR(B9/B8*100,""))</f>
        <v/>
      </c>
      <c r="D20" t="inlineStr"/>
    </row>
    <row r="21">
      <c r="A21" t="inlineStr">
        <is>
          <t>Saleable yield (kg total)</t>
        </is>
      </c>
      <c r="B21">
        <f>B12</f>
        <v/>
      </c>
      <c r="C21">
        <f>SUM('09_HARVEST_QUALITY'!J:J)</f>
        <v/>
      </c>
      <c r="D21" t="inlineStr"/>
    </row>
    <row r="22">
      <c r="A22" t="inlineStr">
        <is>
          <t>Yield per plant (kg)</t>
        </is>
      </c>
      <c r="B22" t="inlineStr">
        <is>
          <t>0.8–1.5</t>
        </is>
      </c>
      <c r="C22">
        <f>IF(B9=0,"",IFERROR(SUM('09_HARVEST_QUALITY'!J:J)/B9,""))</f>
        <v/>
      </c>
      <c r="D22" t="inlineStr"/>
    </row>
    <row r="23">
      <c r="A23" t="inlineStr">
        <is>
          <t>Total revenue (RM)</t>
        </is>
      </c>
      <c r="B23" t="inlineStr"/>
      <c r="C23">
        <f>SUM('10_MARKET_SALES'!G:G)</f>
        <v/>
      </c>
      <c r="D23" t="inlineStr"/>
    </row>
    <row r="24">
      <c r="A24" t="inlineStr">
        <is>
          <t>Total OPEX (RM)</t>
        </is>
      </c>
      <c r="B24" t="inlineStr"/>
      <c r="C24">
        <f>SUM('06_FINANCIALS'!E:E)</f>
        <v/>
      </c>
      <c r="D24" t="inlineStr"/>
    </row>
    <row r="25">
      <c r="A25" t="inlineStr">
        <is>
          <t>Total CAPEX (RM)</t>
        </is>
      </c>
      <c r="B25" t="inlineStr"/>
      <c r="C25">
        <f>SUMIF('06_FINANCIALS'!C:C,"CAPEX",'06_FINANCIALS'!E:E)</f>
        <v/>
      </c>
      <c r="D25" t="inlineStr"/>
    </row>
    <row r="26">
      <c r="A26" t="inlineStr">
        <is>
          <t>Cost per kg (RM)</t>
        </is>
      </c>
      <c r="B26" t="inlineStr">
        <is>
          <t>&lt;8</t>
        </is>
      </c>
      <c r="C26">
        <f>IF(SUM('09_HARVEST_QUALITY'!J:J)=0,"",IFERROR(SUM('06_FINANCIALS'!E:E)/SUM('09_HARVEST_QUALITY'!J:J),""))</f>
        <v/>
      </c>
      <c r="D26" t="inlineStr"/>
    </row>
    <row r="27">
      <c r="A27" t="inlineStr">
        <is>
          <t>Cost per plant (RM)</t>
        </is>
      </c>
      <c r="B27" t="inlineStr"/>
      <c r="C27">
        <f>IF(B9=0,"",IFERROR(SUM('06_FINANCIALS'!E:E)/B9,""))</f>
        <v/>
      </c>
      <c r="D27" t="inlineStr"/>
    </row>
    <row r="28">
      <c r="A28" t="inlineStr">
        <is>
          <t>Gross profit (RM)</t>
        </is>
      </c>
      <c r="B28" t="inlineStr">
        <is>
          <t>&gt;0</t>
        </is>
      </c>
      <c r="C28">
        <f>IFERROR(SUM('10_MARKET_SALES'!G:G)-SUM('06_FINANCIALS'!E:E),"")</f>
        <v/>
      </c>
      <c r="D28" t="inlineStr"/>
    </row>
    <row r="29">
      <c r="A29" t="inlineStr">
        <is>
          <t>Break-even kg</t>
        </is>
      </c>
      <c r="B29" t="inlineStr"/>
      <c r="C29">
        <f>IF(B13=0,"",IFERROR(SUM('06_FINANCIALS'!E:E)/B13,""))</f>
        <v/>
      </c>
      <c r="D29" t="inlineStr"/>
    </row>
    <row r="30">
      <c r="A30" t="inlineStr">
        <is>
          <t>Reject rate (%)</t>
        </is>
      </c>
      <c r="B30" t="inlineStr">
        <is>
          <t>&lt;10%</t>
        </is>
      </c>
      <c r="C30">
        <f>IF(SUM('09_HARVEST_QUALITY'!I:I)=0,"",IFERROR(SUM('09_HARVEST_QUALITY'!K:K)/SUM('09_HARVEST_QUALITY'!I:I)*100,""))</f>
        <v/>
      </c>
      <c r="D30" t="inlineStr"/>
    </row>
    <row r="31">
      <c r="A31" t="inlineStr">
        <is>
          <t>Pest/disease loss (%)</t>
        </is>
      </c>
      <c r="B31" t="inlineStr">
        <is>
          <t>&lt;5%</t>
        </is>
      </c>
      <c r="C31" t="inlineStr"/>
      <c r="D31" t="inlineStr"/>
    </row>
    <row r="34">
      <c r="A34" s="2" t="inlineStr">
        <is>
          <t>9-DOMAIN HEALTH SCORE (manual weekly 1–5)</t>
        </is>
      </c>
    </row>
    <row r="35">
      <c r="A35" s="4" t="inlineStr">
        <is>
          <t>Domain</t>
        </is>
      </c>
      <c r="B35" s="4" t="inlineStr">
        <is>
          <t>Score (1–5)</t>
        </is>
      </c>
      <c r="C35" s="4" t="inlineStr">
        <is>
          <t>Notes</t>
        </is>
      </c>
    </row>
    <row r="36">
      <c r="A36" s="6" t="inlineStr">
        <is>
          <t>1. Production</t>
        </is>
      </c>
      <c r="B36" t="inlineStr"/>
      <c r="C36" t="inlineStr"/>
    </row>
    <row r="37">
      <c r="A37" s="7" t="inlineStr">
        <is>
          <t>2. Financials</t>
        </is>
      </c>
      <c r="B37" t="inlineStr"/>
      <c r="C37" t="inlineStr"/>
    </row>
    <row r="38">
      <c r="A38" s="8" t="inlineStr">
        <is>
          <t>3. Farm Management</t>
        </is>
      </c>
      <c r="B38" t="inlineStr"/>
      <c r="C38" t="inlineStr"/>
    </row>
    <row r="39">
      <c r="A39" s="9" t="inlineStr">
        <is>
          <t>4. Water &amp; Fertilizer</t>
        </is>
      </c>
      <c r="B39" t="inlineStr"/>
      <c r="C39" t="inlineStr"/>
    </row>
    <row r="40">
      <c r="A40" s="10" t="inlineStr">
        <is>
          <t>5. Pest &amp; Disease</t>
        </is>
      </c>
      <c r="B40" t="inlineStr"/>
      <c r="C40" t="inlineStr"/>
    </row>
    <row r="41">
      <c r="A41" s="11" t="inlineStr">
        <is>
          <t>6. Harvest &amp; Quality</t>
        </is>
      </c>
      <c r="B41" t="inlineStr"/>
      <c r="C41" t="inlineStr"/>
    </row>
    <row r="42">
      <c r="A42" s="12" t="inlineStr">
        <is>
          <t>7. Market &amp; Sales</t>
        </is>
      </c>
      <c r="B42" t="inlineStr"/>
      <c r="C42" t="inlineStr"/>
    </row>
    <row r="43">
      <c r="A43" s="13" t="inlineStr">
        <is>
          <t>8. Data &amp; Technology</t>
        </is>
      </c>
      <c r="B43" t="inlineStr"/>
      <c r="C43" t="inlineStr"/>
    </row>
    <row r="44">
      <c r="A44" s="14" t="inlineStr">
        <is>
          <t>9. Scaling</t>
        </is>
      </c>
      <c r="B44" t="inlineStr"/>
      <c r="C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28" customWidth="1" min="5" max="5"/>
    <col width="16" customWidth="1" min="6" max="6"/>
    <col width="12" customWidth="1" min="7" max="7"/>
    <col width="30" customWidth="1" min="8" max="8"/>
  </cols>
  <sheetData>
    <row r="1">
      <c r="A1" s="2" t="inlineStr">
        <is>
          <t>DAILY CHECKLIST (≈15 min)</t>
        </is>
      </c>
    </row>
    <row r="2">
      <c r="A2" t="inlineStr">
        <is>
          <t>Date: ___________    Operator: ___________    Weather: ___________</t>
        </is>
      </c>
    </row>
    <row r="4">
      <c r="A4" s="4" t="inlineStr">
        <is>
          <t>#</t>
        </is>
      </c>
      <c r="B4" s="4" t="inlineStr">
        <is>
          <t>Domain</t>
        </is>
      </c>
      <c r="C4" s="4" t="inlineStr">
        <is>
          <t>Category</t>
        </is>
      </c>
      <c r="D4" s="4" t="inlineStr">
        <is>
          <t>Task / Check</t>
        </is>
      </c>
      <c r="E4" s="4" t="inlineStr">
        <is>
          <t>Target / Standard</t>
        </is>
      </c>
      <c r="F4" s="4" t="inlineStr">
        <is>
          <t>Actual / Reading</t>
        </is>
      </c>
      <c r="G4" s="4" t="inlineStr">
        <is>
          <t>Status</t>
        </is>
      </c>
      <c r="H4" s="4" t="inlineStr">
        <is>
          <t>Notes / Action</t>
        </is>
      </c>
    </row>
    <row r="5">
      <c r="A5" s="15" t="n">
        <v>1</v>
      </c>
      <c r="B5" s="16" t="inlineStr">
        <is>
          <t>3. Farm Management</t>
        </is>
      </c>
      <c r="C5" s="15" t="inlineStr">
        <is>
          <t>Daily checklist</t>
        </is>
      </c>
      <c r="D5" s="15" t="inlineStr">
        <is>
          <t>Walk all bags — note wilt, yellowing, pests</t>
        </is>
      </c>
      <c r="E5" s="15" t="inlineStr">
        <is>
          <t>All bags checked</t>
        </is>
      </c>
      <c r="F5" s="15" t="inlineStr"/>
      <c r="G5" s="15" t="inlineStr">
        <is>
          <t>Pending</t>
        </is>
      </c>
      <c r="H5" s="15" t="inlineStr"/>
    </row>
    <row r="6">
      <c r="A6" s="15" t="n">
        <v>2</v>
      </c>
      <c r="B6" s="16" t="inlineStr">
        <is>
          <t>3. Farm Management</t>
        </is>
      </c>
      <c r="C6" s="15" t="inlineStr">
        <is>
          <t>Irrigation</t>
        </is>
      </c>
      <c r="D6" s="15" t="inlineStr">
        <is>
          <t>Finger-test media 3 cm deep; water if dry</t>
        </is>
      </c>
      <c r="E6" s="15" t="inlineStr">
        <is>
          <t>No waterlogging</t>
        </is>
      </c>
      <c r="F6" s="15" t="inlineStr"/>
      <c r="G6" s="15" t="inlineStr">
        <is>
          <t>Pending</t>
        </is>
      </c>
      <c r="H6" s="15" t="inlineStr"/>
    </row>
    <row r="7">
      <c r="A7" s="15" t="n">
        <v>3</v>
      </c>
      <c r="B7" s="17" t="inlineStr">
        <is>
          <t>4. Water &amp; Fertilizer</t>
        </is>
      </c>
      <c r="C7" s="15" t="inlineStr">
        <is>
          <t>Volume</t>
        </is>
      </c>
      <c r="D7" s="15" t="inlineStr">
        <is>
          <t>Record total water/fertigation per bag (ml)</t>
        </is>
      </c>
      <c r="E7" s="15" t="inlineStr">
        <is>
          <t>Per stage target</t>
        </is>
      </c>
      <c r="F7" s="15" t="inlineStr"/>
      <c r="G7" s="15" t="inlineStr">
        <is>
          <t>Pending</t>
        </is>
      </c>
      <c r="H7" s="15" t="inlineStr"/>
    </row>
    <row r="8">
      <c r="A8" s="15" t="n">
        <v>4</v>
      </c>
      <c r="B8" s="17" t="inlineStr">
        <is>
          <t>4. Water &amp; Fertilizer</t>
        </is>
      </c>
      <c r="C8" s="15" t="inlineStr">
        <is>
          <t>EC</t>
        </is>
      </c>
      <c r="D8" s="15" t="inlineStr">
        <is>
          <t>Check feed EC if fertigating (leachate sample)</t>
        </is>
      </c>
      <c r="E8" s="15" t="inlineStr">
        <is>
          <t>1.2–2.5 mS/cm</t>
        </is>
      </c>
      <c r="F8" s="15" t="inlineStr"/>
      <c r="G8" s="15" t="inlineStr">
        <is>
          <t>Pending</t>
        </is>
      </c>
      <c r="H8" s="15" t="inlineStr"/>
    </row>
    <row r="9">
      <c r="A9" s="15" t="n">
        <v>5</v>
      </c>
      <c r="B9" s="17" t="inlineStr">
        <is>
          <t>4. Water &amp; Fertilizer</t>
        </is>
      </c>
      <c r="C9" s="15" t="inlineStr">
        <is>
          <t>pH</t>
        </is>
      </c>
      <c r="D9" s="15" t="inlineStr">
        <is>
          <t>Check feed pH if meter available</t>
        </is>
      </c>
      <c r="E9" s="15" t="inlineStr">
        <is>
          <t>5.5–6.5</t>
        </is>
      </c>
      <c r="F9" s="15" t="inlineStr"/>
      <c r="G9" s="15" t="inlineStr">
        <is>
          <t>Pending</t>
        </is>
      </c>
      <c r="H9" s="15" t="inlineStr"/>
    </row>
    <row r="10">
      <c r="A10" s="15" t="n">
        <v>6</v>
      </c>
      <c r="B10" s="18" t="inlineStr">
        <is>
          <t>5. Pest &amp; Disease</t>
        </is>
      </c>
      <c r="C10" s="15" t="inlineStr">
        <is>
          <t>Scouting</t>
        </is>
      </c>
      <c r="D10" s="15" t="inlineStr">
        <is>
          <t>Check leaf undersides, new growth, fruit</t>
        </is>
      </c>
      <c r="E10" s="15" t="inlineStr">
        <is>
          <t>&lt;5% plants affected</t>
        </is>
      </c>
      <c r="F10" s="15" t="inlineStr"/>
      <c r="G10" s="15" t="inlineStr">
        <is>
          <t>Pending</t>
        </is>
      </c>
      <c r="H10" s="15" t="inlineStr"/>
    </row>
    <row r="11">
      <c r="A11" s="15" t="n">
        <v>7</v>
      </c>
      <c r="B11" s="18" t="inlineStr">
        <is>
          <t>5. Pest &amp; Disease</t>
        </is>
      </c>
      <c r="C11" s="15" t="inlineStr">
        <is>
          <t>Detection</t>
        </is>
      </c>
      <c r="D11" s="15" t="inlineStr">
        <is>
          <t>Log any aphids, thrips, mites, snails</t>
        </is>
      </c>
      <c r="E11" s="15" t="inlineStr">
        <is>
          <t>Record in sheet 08</t>
        </is>
      </c>
      <c r="F11" s="15" t="inlineStr"/>
      <c r="G11" s="15" t="inlineStr">
        <is>
          <t>Pending</t>
        </is>
      </c>
      <c r="H11" s="15" t="inlineStr"/>
    </row>
    <row r="12">
      <c r="A12" s="15" t="n">
        <v>8</v>
      </c>
      <c r="B12" s="19" t="inlineStr">
        <is>
          <t>1. Production</t>
        </is>
      </c>
      <c r="C12" s="15" t="inlineStr">
        <is>
          <t>Growth</t>
        </is>
      </c>
      <c r="D12" s="15" t="inlineStr">
        <is>
          <t>Note plant height/stage anomalies</t>
        </is>
      </c>
      <c r="E12" s="15" t="inlineStr">
        <is>
          <t>Uniform growth</t>
        </is>
      </c>
      <c r="F12" s="15" t="inlineStr"/>
      <c r="G12" s="15" t="inlineStr">
        <is>
          <t>Pending</t>
        </is>
      </c>
      <c r="H12" s="15" t="inlineStr"/>
    </row>
    <row r="13">
      <c r="A13" s="15" t="n">
        <v>9</v>
      </c>
      <c r="B13" s="20" t="inlineStr">
        <is>
          <t>6. Harvest &amp; Quality</t>
        </is>
      </c>
      <c r="C13" s="15" t="inlineStr">
        <is>
          <t>Harvest</t>
        </is>
      </c>
      <c r="D13" s="15" t="inlineStr">
        <is>
          <t>Pick mature fruit (green or red per market)</t>
        </is>
      </c>
      <c r="E13" s="15" t="inlineStr">
        <is>
          <t>Every 1–2 days in peak</t>
        </is>
      </c>
      <c r="F13" s="15" t="inlineStr"/>
      <c r="G13" s="15" t="inlineStr">
        <is>
          <t>Pending</t>
        </is>
      </c>
      <c r="H13" s="15" t="inlineStr"/>
    </row>
    <row r="14">
      <c r="A14" s="15" t="n">
        <v>10</v>
      </c>
      <c r="B14" s="20" t="inlineStr">
        <is>
          <t>6. Harvest &amp; Quality</t>
        </is>
      </c>
      <c r="C14" s="15" t="inlineStr">
        <is>
          <t>Rejects</t>
        </is>
      </c>
      <c r="D14" s="15" t="inlineStr">
        <is>
          <t>Separate damaged/rotten fruit — do not mix</t>
        </is>
      </c>
      <c r="E14" s="15" t="inlineStr">
        <is>
          <t>Reject bin separate</t>
        </is>
      </c>
      <c r="F14" s="15" t="inlineStr"/>
      <c r="G14" s="15" t="inlineStr">
        <is>
          <t>Pending</t>
        </is>
      </c>
      <c r="H14" s="15" t="inlineStr"/>
    </row>
    <row r="15">
      <c r="A15" s="15" t="n">
        <v>11</v>
      </c>
      <c r="B15" s="21" t="inlineStr">
        <is>
          <t>8. Data &amp; Technology</t>
        </is>
      </c>
      <c r="C15" s="15" t="inlineStr">
        <is>
          <t>Records</t>
        </is>
      </c>
      <c r="D15" s="15" t="inlineStr">
        <is>
          <t>Log harvest kg, water, issues in log sheets</t>
        </is>
      </c>
      <c r="E15" s="15" t="inlineStr">
        <is>
          <t>Same day entry</t>
        </is>
      </c>
      <c r="F15" s="15" t="inlineStr"/>
      <c r="G15" s="15" t="inlineStr">
        <is>
          <t>Pending</t>
        </is>
      </c>
      <c r="H15" s="15" t="inlineStr"/>
    </row>
    <row r="16">
      <c r="A16" s="15" t="n">
        <v>12</v>
      </c>
      <c r="B16" s="16" t="inlineStr">
        <is>
          <t>3. Farm Management</t>
        </is>
      </c>
      <c r="C16" s="15" t="inlineStr">
        <is>
          <t>Maintenance</t>
        </is>
      </c>
      <c r="D16" s="15" t="inlineStr">
        <is>
          <t>Check stakes, drippers, shade net, drainage</t>
        </is>
      </c>
      <c r="E16" s="15" t="inlineStr">
        <is>
          <t>No blocked drippers</t>
        </is>
      </c>
      <c r="F16" s="15" t="inlineStr"/>
      <c r="G16" s="15" t="inlineStr">
        <is>
          <t>Pending</t>
        </is>
      </c>
      <c r="H16" s="15" t="inlineStr"/>
    </row>
    <row r="17">
      <c r="A17" s="15" t="n">
        <v>13</v>
      </c>
      <c r="B17" s="22" t="inlineStr">
        <is>
          <t>7. Market &amp; Sales</t>
        </is>
      </c>
      <c r="C17" s="15" t="inlineStr">
        <is>
          <t>Quantity</t>
        </is>
      </c>
      <c r="D17" s="15" t="inlineStr">
        <is>
          <t>Update today's harvest ready for sale (kg)</t>
        </is>
      </c>
      <c r="E17" s="15" t="inlineStr">
        <is>
          <t>Logged</t>
        </is>
      </c>
      <c r="F17" s="15" t="inlineStr"/>
      <c r="G17" s="15" t="inlineStr">
        <is>
          <t>Pending</t>
        </is>
      </c>
      <c r="H17" s="15" t="inlineStr"/>
    </row>
    <row r="18">
      <c r="A18" s="15" t="n">
        <v>14</v>
      </c>
      <c r="B18" s="23" t="inlineStr">
        <is>
          <t>2. Financials</t>
        </is>
      </c>
      <c r="C18" s="15" t="inlineStr">
        <is>
          <t>Cash flow</t>
        </is>
      </c>
      <c r="D18" s="15" t="inlineStr">
        <is>
          <t>Record any purchases or sales today (RM)</t>
        </is>
      </c>
      <c r="E18" s="15" t="inlineStr">
        <is>
          <t>Logged in sheet 06/10</t>
        </is>
      </c>
      <c r="F18" s="15" t="inlineStr"/>
      <c r="G18" s="15" t="inlineStr">
        <is>
          <t>Pending</t>
        </is>
      </c>
      <c r="H18" s="15" t="inlineStr"/>
    </row>
  </sheetData>
  <dataValidations count="1">
    <dataValidation sqref="G5:G18" showDropDown="0" showInputMessage="0" showErrorMessage="0" allowBlank="1" error="Choose: Pending, Done, Skip, N/A, Issue" type="list">
      <formula1>"Pending,Done,Skip,N/A,Issue"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28" customWidth="1" min="5" max="5"/>
    <col width="16" customWidth="1" min="6" max="6"/>
    <col width="12" customWidth="1" min="7" max="7"/>
    <col width="30" customWidth="1" min="8" max="8"/>
  </cols>
  <sheetData>
    <row r="1">
      <c r="A1" s="2" t="inlineStr">
        <is>
          <t>WEEKLY CHECKLIST (≈1 hour)</t>
        </is>
      </c>
    </row>
    <row r="2">
      <c r="A2" t="inlineStr">
        <is>
          <t>Date: ___________    Operator: ___________    Weather: ___________</t>
        </is>
      </c>
    </row>
    <row r="4">
      <c r="A4" s="4" t="inlineStr">
        <is>
          <t>#</t>
        </is>
      </c>
      <c r="B4" s="4" t="inlineStr">
        <is>
          <t>Domain</t>
        </is>
      </c>
      <c r="C4" s="4" t="inlineStr">
        <is>
          <t>Category</t>
        </is>
      </c>
      <c r="D4" s="4" t="inlineStr">
        <is>
          <t>Task / Check</t>
        </is>
      </c>
      <c r="E4" s="4" t="inlineStr">
        <is>
          <t>Target / Standard</t>
        </is>
      </c>
      <c r="F4" s="4" t="inlineStr">
        <is>
          <t>Actual / Reading</t>
        </is>
      </c>
      <c r="G4" s="4" t="inlineStr">
        <is>
          <t>Status</t>
        </is>
      </c>
      <c r="H4" s="4" t="inlineStr">
        <is>
          <t>Notes / Action</t>
        </is>
      </c>
    </row>
    <row r="5">
      <c r="A5" s="15" t="n">
        <v>1</v>
      </c>
      <c r="B5" s="17" t="inlineStr">
        <is>
          <t>4. Water &amp; Fertilizer</t>
        </is>
      </c>
      <c r="C5" s="15" t="inlineStr">
        <is>
          <t>Salt flush</t>
        </is>
      </c>
      <c r="D5" s="15" t="inlineStr">
        <is>
          <t>Plain water flush 15–20% leachate all bags</t>
        </is>
      </c>
      <c r="E5" s="15" t="inlineStr">
        <is>
          <t>Once per week</t>
        </is>
      </c>
      <c r="F5" s="15" t="inlineStr"/>
      <c r="G5" s="15" t="inlineStr">
        <is>
          <t>Pending</t>
        </is>
      </c>
      <c r="H5" s="15" t="inlineStr"/>
    </row>
    <row r="6">
      <c r="A6" s="15" t="n">
        <v>2</v>
      </c>
      <c r="B6" s="17" t="inlineStr">
        <is>
          <t>4. Water &amp; Fertilizer</t>
        </is>
      </c>
      <c r="C6" s="15" t="inlineStr">
        <is>
          <t>Fertilizer</t>
        </is>
      </c>
      <c r="D6" s="15" t="inlineStr">
        <is>
          <t>Side-dress or adjust fertigation EC per stage</t>
        </is>
      </c>
      <c r="E6" s="15" t="inlineStr">
        <is>
          <t>Per schedule</t>
        </is>
      </c>
      <c r="F6" s="15" t="inlineStr"/>
      <c r="G6" s="15" t="inlineStr">
        <is>
          <t>Pending</t>
        </is>
      </c>
      <c r="H6" s="15" t="inlineStr"/>
    </row>
    <row r="7">
      <c r="A7" s="15" t="n">
        <v>3</v>
      </c>
      <c r="B7" s="18" t="inlineStr">
        <is>
          <t>5. Pest &amp; Disease</t>
        </is>
      </c>
      <c r="C7" s="15" t="inlineStr">
        <is>
          <t>Prevention</t>
        </is>
      </c>
      <c r="D7" s="15" t="inlineStr">
        <is>
          <t>Yellow sticky traps check / replace</t>
        </is>
      </c>
      <c r="E7" s="15" t="inlineStr">
        <is>
          <t>Traps clean</t>
        </is>
      </c>
      <c r="F7" s="15" t="inlineStr"/>
      <c r="G7" s="15" t="inlineStr">
        <is>
          <t>Pending</t>
        </is>
      </c>
      <c r="H7" s="15" t="inlineStr"/>
    </row>
    <row r="8">
      <c r="A8" s="15" t="n">
        <v>4</v>
      </c>
      <c r="B8" s="18" t="inlineStr">
        <is>
          <t>5. Pest &amp; Disease</t>
        </is>
      </c>
      <c r="C8" s="15" t="inlineStr">
        <is>
          <t>Monitoring</t>
        </is>
      </c>
      <c r="D8" s="15" t="inlineStr">
        <is>
          <t>Calculate % plants with pest/disease</t>
        </is>
      </c>
      <c r="E8" s="15" t="inlineStr">
        <is>
          <t>&lt;5% threshold</t>
        </is>
      </c>
      <c r="F8" s="15" t="inlineStr"/>
      <c r="G8" s="15" t="inlineStr">
        <is>
          <t>Pending</t>
        </is>
      </c>
      <c r="H8" s="15" t="inlineStr"/>
    </row>
    <row r="9">
      <c r="A9" s="15" t="n">
        <v>5</v>
      </c>
      <c r="B9" s="18" t="inlineStr">
        <is>
          <t>5. Pest &amp; Disease</t>
        </is>
      </c>
      <c r="C9" s="15" t="inlineStr">
        <is>
          <t>Sanitation</t>
        </is>
      </c>
      <c r="D9" s="15" t="inlineStr">
        <is>
          <t>Remove dead leaves, fallen fruit, weeds</t>
        </is>
      </c>
      <c r="E9" s="15" t="inlineStr">
        <is>
          <t>Clean aisles</t>
        </is>
      </c>
      <c r="F9" s="15" t="inlineStr"/>
      <c r="G9" s="15" t="inlineStr">
        <is>
          <t>Pending</t>
        </is>
      </c>
      <c r="H9" s="15" t="inlineStr"/>
    </row>
    <row r="10">
      <c r="A10" s="15" t="n">
        <v>6</v>
      </c>
      <c r="B10" s="19" t="inlineStr">
        <is>
          <t>1. Production</t>
        </is>
      </c>
      <c r="C10" s="15" t="inlineStr">
        <is>
          <t>Plant density</t>
        </is>
      </c>
      <c r="D10" s="15" t="inlineStr">
        <is>
          <t>Confirm 1 plant/bag; remove volunteers</t>
        </is>
      </c>
      <c r="E10" s="15" t="inlineStr">
        <is>
          <t>1 plant per bag</t>
        </is>
      </c>
      <c r="F10" s="15" t="inlineStr"/>
      <c r="G10" s="15" t="inlineStr">
        <is>
          <t>Pending</t>
        </is>
      </c>
      <c r="H10" s="15" t="inlineStr"/>
    </row>
    <row r="11">
      <c r="A11" s="15" t="n">
        <v>7</v>
      </c>
      <c r="B11" s="19" t="inlineStr">
        <is>
          <t>1. Production</t>
        </is>
      </c>
      <c r="C11" s="15" t="inlineStr">
        <is>
          <t>Flowering/Fruit set</t>
        </is>
      </c>
      <c r="D11" s="15" t="inlineStr">
        <is>
          <t>Count flowers and small fruit per sample plant</t>
        </is>
      </c>
      <c r="E11" s="15" t="inlineStr">
        <is>
          <t>10 sample plants</t>
        </is>
      </c>
      <c r="F11" s="15" t="inlineStr"/>
      <c r="G11" s="15" t="inlineStr">
        <is>
          <t>Pending</t>
        </is>
      </c>
      <c r="H11" s="15" t="inlineStr"/>
    </row>
    <row r="12">
      <c r="A12" s="15" t="n">
        <v>8</v>
      </c>
      <c r="B12" s="16" t="inlineStr">
        <is>
          <t>3. Farm Management</t>
        </is>
      </c>
      <c r="C12" s="15" t="inlineStr">
        <is>
          <t>SOP</t>
        </is>
      </c>
      <c r="D12" s="15" t="inlineStr">
        <is>
          <t>Review any deviations from SOP this week</t>
        </is>
      </c>
      <c r="E12" s="15" t="inlineStr">
        <is>
          <t>Document fixes</t>
        </is>
      </c>
      <c r="F12" s="15" t="inlineStr"/>
      <c r="G12" s="15" t="inlineStr">
        <is>
          <t>Pending</t>
        </is>
      </c>
      <c r="H12" s="15" t="inlineStr"/>
    </row>
    <row r="13">
      <c r="A13" s="15" t="n">
        <v>9</v>
      </c>
      <c r="B13" s="20" t="inlineStr">
        <is>
          <t>6. Harvest &amp; Quality</t>
        </is>
      </c>
      <c r="C13" s="15" t="inlineStr">
        <is>
          <t>Grading</t>
        </is>
      </c>
      <c r="D13" s="15" t="inlineStr">
        <is>
          <t>Review grade mix — adjust picking timing</t>
        </is>
      </c>
      <c r="E13" s="15" t="inlineStr">
        <is>
          <t>Grade A &gt;70%</t>
        </is>
      </c>
      <c r="F13" s="15" t="inlineStr"/>
      <c r="G13" s="15" t="inlineStr">
        <is>
          <t>Pending</t>
        </is>
      </c>
      <c r="H13" s="15" t="inlineStr"/>
    </row>
    <row r="14">
      <c r="A14" s="15" t="n">
        <v>10</v>
      </c>
      <c r="B14" s="20" t="inlineStr">
        <is>
          <t>6. Harvest &amp; Quality</t>
        </is>
      </c>
      <c r="C14" s="15" t="inlineStr">
        <is>
          <t>Loss reduction</t>
        </is>
      </c>
      <c r="D14" s="15" t="inlineStr">
        <is>
          <t>Calculate weekly reject %</t>
        </is>
      </c>
      <c r="E14" s="15" t="inlineStr">
        <is>
          <t>&lt;10%</t>
        </is>
      </c>
      <c r="F14" s="15" t="inlineStr"/>
      <c r="G14" s="15" t="inlineStr">
        <is>
          <t>Pending</t>
        </is>
      </c>
      <c r="H14" s="15" t="inlineStr"/>
    </row>
    <row r="15">
      <c r="A15" s="15" t="n">
        <v>11</v>
      </c>
      <c r="B15" s="22" t="inlineStr">
        <is>
          <t>7. Market &amp; Sales</t>
        </is>
      </c>
      <c r="C15" s="15" t="inlineStr">
        <is>
          <t>Buyers</t>
        </is>
      </c>
      <c r="D15" s="15" t="inlineStr">
        <is>
          <t>Contact buyers for next week's demand</t>
        </is>
      </c>
      <c r="E15" s="15" t="inlineStr">
        <is>
          <t>1+ buyer confirmed</t>
        </is>
      </c>
      <c r="F15" s="15" t="inlineStr"/>
      <c r="G15" s="15" t="inlineStr">
        <is>
          <t>Pending</t>
        </is>
      </c>
      <c r="H15" s="15" t="inlineStr"/>
    </row>
    <row r="16">
      <c r="A16" s="15" t="n">
        <v>12</v>
      </c>
      <c r="B16" s="22" t="inlineStr">
        <is>
          <t>7. Market &amp; Sales</t>
        </is>
      </c>
      <c r="C16" s="15" t="inlineStr">
        <is>
          <t>Price</t>
        </is>
      </c>
      <c r="D16" s="15" t="inlineStr">
        <is>
          <t>Check market price (wet market/wholesale)</t>
        </is>
      </c>
      <c r="E16" s="15" t="inlineStr">
        <is>
          <t>Logged</t>
        </is>
      </c>
      <c r="F16" s="15" t="inlineStr"/>
      <c r="G16" s="15" t="inlineStr">
        <is>
          <t>Pending</t>
        </is>
      </c>
      <c r="H16" s="15" t="inlineStr"/>
    </row>
    <row r="17">
      <c r="A17" s="15" t="n">
        <v>13</v>
      </c>
      <c r="B17" s="23" t="inlineStr">
        <is>
          <t>2. Financials</t>
        </is>
      </c>
      <c r="C17" s="15" t="inlineStr">
        <is>
          <t>OPEX</t>
        </is>
      </c>
      <c r="D17" s="15" t="inlineStr">
        <is>
          <t>Sum weekly expenses</t>
        </is>
      </c>
      <c r="E17" s="15" t="inlineStr">
        <is>
          <t>Sheet 06 updated</t>
        </is>
      </c>
      <c r="F17" s="15" t="inlineStr"/>
      <c r="G17" s="15" t="inlineStr">
        <is>
          <t>Pending</t>
        </is>
      </c>
      <c r="H17" s="15" t="inlineStr"/>
    </row>
    <row r="18">
      <c r="A18" s="15" t="n">
        <v>14</v>
      </c>
      <c r="B18" s="23" t="inlineStr">
        <is>
          <t>2. Financials</t>
        </is>
      </c>
      <c r="C18" s="15" t="inlineStr">
        <is>
          <t>Revenue</t>
        </is>
      </c>
      <c r="D18" s="15" t="inlineStr">
        <is>
          <t>Sum weekly sales</t>
        </is>
      </c>
      <c r="E18" s="15" t="inlineStr">
        <is>
          <t>Sheet 10 updated</t>
        </is>
      </c>
      <c r="F18" s="15" t="inlineStr"/>
      <c r="G18" s="15" t="inlineStr">
        <is>
          <t>Pending</t>
        </is>
      </c>
      <c r="H18" s="15" t="inlineStr"/>
    </row>
    <row r="19">
      <c r="A19" s="15" t="n">
        <v>15</v>
      </c>
      <c r="B19" s="21" t="inlineStr">
        <is>
          <t>8. Data &amp; Technology</t>
        </is>
      </c>
      <c r="C19" s="15" t="inlineStr">
        <is>
          <t>Analytics</t>
        </is>
      </c>
      <c r="D19" s="15" t="inlineStr">
        <is>
          <t>Update Dashboard KPIs</t>
        </is>
      </c>
      <c r="E19" s="15" t="inlineStr">
        <is>
          <t>Sheet 01 reviewed</t>
        </is>
      </c>
      <c r="F19" s="15" t="inlineStr"/>
      <c r="G19" s="15" t="inlineStr">
        <is>
          <t>Pending</t>
        </is>
      </c>
      <c r="H19" s="15" t="inlineStr"/>
    </row>
    <row r="20">
      <c r="A20" s="15" t="n">
        <v>16</v>
      </c>
      <c r="B20" s="21" t="inlineStr">
        <is>
          <t>8. Data &amp; Technology</t>
        </is>
      </c>
      <c r="C20" s="15" t="inlineStr">
        <is>
          <t>Weather</t>
        </is>
      </c>
      <c r="D20" s="15" t="inlineStr">
        <is>
          <t>Log rainfall, max temp, humidity notes</t>
        </is>
      </c>
      <c r="E20" s="15" t="inlineStr">
        <is>
          <t>Logged</t>
        </is>
      </c>
      <c r="F20" s="15" t="inlineStr"/>
      <c r="G20" s="15" t="inlineStr">
        <is>
          <t>Pending</t>
        </is>
      </c>
      <c r="H20" s="15" t="inlineStr"/>
    </row>
    <row r="21">
      <c r="A21" s="15" t="n">
        <v>17</v>
      </c>
      <c r="B21" s="24" t="inlineStr">
        <is>
          <t>9. Scaling</t>
        </is>
      </c>
      <c r="C21" s="15" t="inlineStr">
        <is>
          <t>Measure</t>
        </is>
      </c>
      <c r="D21" s="15" t="inlineStr">
        <is>
          <t>Compare yield/cost to baseline targets</t>
        </is>
      </c>
      <c r="E21" s="15" t="inlineStr">
        <is>
          <t>On track?</t>
        </is>
      </c>
      <c r="F21" s="15" t="inlineStr"/>
      <c r="G21" s="15" t="inlineStr">
        <is>
          <t>Pending</t>
        </is>
      </c>
      <c r="H21" s="15" t="inlineStr"/>
    </row>
    <row r="22">
      <c r="A22" s="15" t="n">
        <v>18</v>
      </c>
      <c r="B22" s="16" t="inlineStr">
        <is>
          <t>3. Farm Management</t>
        </is>
      </c>
      <c r="C22" s="15" t="inlineStr">
        <is>
          <t>Records</t>
        </is>
      </c>
      <c r="D22" s="15" t="inlineStr">
        <is>
          <t>Backup notebook / photos / spreadsheet</t>
        </is>
      </c>
      <c r="E22" s="15" t="inlineStr">
        <is>
          <t>Weekly backup</t>
        </is>
      </c>
      <c r="F22" s="15" t="inlineStr"/>
      <c r="G22" s="15" t="inlineStr">
        <is>
          <t>Pending</t>
        </is>
      </c>
      <c r="H22" s="15" t="inlineStr"/>
    </row>
  </sheetData>
  <dataValidations count="1">
    <dataValidation sqref="G5:G22" showDropDown="0" showInputMessage="0" showErrorMessage="0" allowBlank="1" error="Choose: Pending, Done, Skip, N/A, Issue" type="list">
      <formula1>"Pending,Done,Skip,N/A,Issue"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28" customWidth="1" min="5" max="5"/>
    <col width="16" customWidth="1" min="6" max="6"/>
    <col width="12" customWidth="1" min="7" max="7"/>
    <col width="30" customWidth="1" min="8" max="8"/>
  </cols>
  <sheetData>
    <row r="1">
      <c r="A1" s="2" t="inlineStr">
        <is>
          <t>CROP CYCLE CHECKLIST (sow → harvest → reset)</t>
        </is>
      </c>
    </row>
    <row r="2">
      <c r="A2" t="inlineStr">
        <is>
          <t>Date: ___________    Operator: ___________    Weather: ___________</t>
        </is>
      </c>
    </row>
    <row r="4">
      <c r="A4" s="4" t="inlineStr">
        <is>
          <t>#</t>
        </is>
      </c>
      <c r="B4" s="4" t="inlineStr">
        <is>
          <t>Domain</t>
        </is>
      </c>
      <c r="C4" s="4" t="inlineStr">
        <is>
          <t>Category</t>
        </is>
      </c>
      <c r="D4" s="4" t="inlineStr">
        <is>
          <t>Task / Check</t>
        </is>
      </c>
      <c r="E4" s="4" t="inlineStr">
        <is>
          <t>Target / Standard</t>
        </is>
      </c>
      <c r="F4" s="4" t="inlineStr">
        <is>
          <t>Actual / Reading</t>
        </is>
      </c>
      <c r="G4" s="4" t="inlineStr">
        <is>
          <t>Status</t>
        </is>
      </c>
      <c r="H4" s="4" t="inlineStr">
        <is>
          <t>Notes / Action</t>
        </is>
      </c>
    </row>
    <row r="5">
      <c r="A5" s="15" t="n">
        <v>1</v>
      </c>
      <c r="B5" s="24" t="inlineStr">
        <is>
          <t>9. Scaling</t>
        </is>
      </c>
      <c r="C5" s="15" t="inlineStr">
        <is>
          <t>Start small</t>
        </is>
      </c>
      <c r="D5" s="15" t="inlineStr">
        <is>
          <t>Define cycle size (# bags) and budget cap</t>
        </is>
      </c>
      <c r="E5" s="15" t="inlineStr">
        <is>
          <t>Written plan</t>
        </is>
      </c>
      <c r="F5" s="15" t="inlineStr"/>
      <c r="G5" s="15" t="inlineStr">
        <is>
          <t>Pending</t>
        </is>
      </c>
      <c r="H5" s="15" t="inlineStr"/>
    </row>
    <row r="6">
      <c r="A6" s="15" t="n">
        <v>2</v>
      </c>
      <c r="B6" s="24" t="inlineStr">
        <is>
          <t>9. Scaling</t>
        </is>
      </c>
      <c r="C6" s="15" t="inlineStr">
        <is>
          <t>Baseline</t>
        </is>
      </c>
      <c r="D6" s="15" t="inlineStr">
        <is>
          <t>Record starting media, seed lot, costs</t>
        </is>
      </c>
      <c r="E6" s="15" t="inlineStr">
        <is>
          <t>Sheet 05/06</t>
        </is>
      </c>
      <c r="F6" s="15" t="inlineStr"/>
      <c r="G6" s="15" t="inlineStr">
        <is>
          <t>Pending</t>
        </is>
      </c>
      <c r="H6" s="15" t="inlineStr"/>
    </row>
    <row r="7">
      <c r="A7" s="15" t="n">
        <v>3</v>
      </c>
      <c r="B7" s="23" t="inlineStr">
        <is>
          <t>2. Financials</t>
        </is>
      </c>
      <c r="C7" s="15" t="inlineStr">
        <is>
          <t>CAPEX</t>
        </is>
      </c>
      <c r="D7" s="15" t="inlineStr">
        <is>
          <t>List all one-time purchases (bags, drip, net)</t>
        </is>
      </c>
      <c r="E7" s="15" t="inlineStr">
        <is>
          <t>Sheet 06</t>
        </is>
      </c>
      <c r="F7" s="15" t="inlineStr"/>
      <c r="G7" s="15" t="inlineStr">
        <is>
          <t>Pending</t>
        </is>
      </c>
      <c r="H7" s="15" t="inlineStr"/>
    </row>
    <row r="8">
      <c r="A8" s="15" t="n">
        <v>4</v>
      </c>
      <c r="B8" s="23" t="inlineStr">
        <is>
          <t>2. Financials</t>
        </is>
      </c>
      <c r="C8" s="15" t="inlineStr">
        <is>
          <t>OPEX</t>
        </is>
      </c>
      <c r="D8" s="15" t="inlineStr">
        <is>
          <t>Budget seeds, media, fertiliser, labour</t>
        </is>
      </c>
      <c r="E8" s="15" t="inlineStr">
        <is>
          <t>Sheet 06</t>
        </is>
      </c>
      <c r="F8" s="15" t="inlineStr"/>
      <c r="G8" s="15" t="inlineStr">
        <is>
          <t>Pending</t>
        </is>
      </c>
      <c r="H8" s="15" t="inlineStr"/>
    </row>
    <row r="9">
      <c r="A9" s="15" t="n">
        <v>5</v>
      </c>
      <c r="B9" s="19" t="inlineStr">
        <is>
          <t>1. Production</t>
        </is>
      </c>
      <c r="C9" s="15" t="inlineStr">
        <is>
          <t>Variety</t>
        </is>
      </c>
      <c r="D9" s="15" t="inlineStr">
        <is>
          <t>Label all seed lots; record germination %</t>
        </is>
      </c>
      <c r="E9" s="15" t="inlineStr">
        <is>
          <t>&gt;70% germination</t>
        </is>
      </c>
      <c r="F9" s="15" t="inlineStr"/>
      <c r="G9" s="15" t="inlineStr">
        <is>
          <t>Pending</t>
        </is>
      </c>
      <c r="H9" s="15" t="inlineStr"/>
    </row>
    <row r="10">
      <c r="A10" s="15" t="n">
        <v>6</v>
      </c>
      <c r="B10" s="19" t="inlineStr">
        <is>
          <t>1. Production</t>
        </is>
      </c>
      <c r="C10" s="15" t="inlineStr">
        <is>
          <t>Nursery</t>
        </is>
      </c>
      <c r="D10" s="15" t="inlineStr">
        <is>
          <t>Seed treatment (captan); sow 0.5 cm depth</t>
        </is>
      </c>
      <c r="E10" s="15" t="inlineStr">
        <is>
          <t>DOA protocol</t>
        </is>
      </c>
      <c r="F10" s="15" t="inlineStr"/>
      <c r="G10" s="15" t="inlineStr">
        <is>
          <t>Pending</t>
        </is>
      </c>
      <c r="H10" s="15" t="inlineStr"/>
    </row>
    <row r="11">
      <c r="A11" s="15" t="n">
        <v>7</v>
      </c>
      <c r="B11" s="19" t="inlineStr">
        <is>
          <t>1. Production</t>
        </is>
      </c>
      <c r="C11" s="15" t="inlineStr">
        <is>
          <t>Nursery</t>
        </is>
      </c>
      <c r="D11" s="15" t="inlineStr">
        <is>
          <t>Seedling mix: 60–70% cocopeat + 30–40% compost</t>
        </is>
      </c>
      <c r="E11" s="15" t="inlineStr">
        <is>
          <t>pH 5.5–6.5</t>
        </is>
      </c>
      <c r="F11" s="15" t="inlineStr"/>
      <c r="G11" s="15" t="inlineStr">
        <is>
          <t>Pending</t>
        </is>
      </c>
      <c r="H11" s="15" t="inlineStr"/>
    </row>
    <row r="12">
      <c r="A12" s="15" t="n">
        <v>8</v>
      </c>
      <c r="B12" s="17" t="inlineStr">
        <is>
          <t>4. Water &amp; Fertilizer</t>
        </is>
      </c>
      <c r="C12" s="15" t="inlineStr">
        <is>
          <t>Water quality</t>
        </is>
      </c>
      <c r="D12" s="15" t="inlineStr">
        <is>
          <t>Use clean water; note source (tap/bore/rain)</t>
        </is>
      </c>
      <c r="E12" s="15" t="inlineStr">
        <is>
          <t>No contamination</t>
        </is>
      </c>
      <c r="F12" s="15" t="inlineStr"/>
      <c r="G12" s="15" t="inlineStr">
        <is>
          <t>Pending</t>
        </is>
      </c>
      <c r="H12" s="15" t="inlineStr"/>
    </row>
    <row r="13">
      <c r="A13" s="15" t="n">
        <v>9</v>
      </c>
      <c r="B13" s="19" t="inlineStr">
        <is>
          <t>1. Production</t>
        </is>
      </c>
      <c r="C13" s="15" t="inlineStr">
        <is>
          <t>Nursery</t>
        </is>
      </c>
      <c r="D13" s="15" t="inlineStr">
        <is>
          <t>Week 2 foliar feed (½ strength)</t>
        </is>
      </c>
      <c r="E13" s="15" t="inlineStr">
        <is>
          <t>Once only</t>
        </is>
      </c>
      <c r="F13" s="15" t="inlineStr"/>
      <c r="G13" s="15" t="inlineStr">
        <is>
          <t>Pending</t>
        </is>
      </c>
      <c r="H13" s="15" t="inlineStr"/>
    </row>
    <row r="14">
      <c r="A14" s="15" t="n">
        <v>10</v>
      </c>
      <c r="B14" s="19" t="inlineStr">
        <is>
          <t>1. Production</t>
        </is>
      </c>
      <c r="C14" s="15" t="inlineStr">
        <is>
          <t>Nursery</t>
        </is>
      </c>
      <c r="D14" s="15" t="inlineStr">
        <is>
          <t>Seedlings 4–6 true leaves, 15–25 cm</t>
        </is>
      </c>
      <c r="E14" s="15" t="inlineStr">
        <is>
          <t>Week 4–6</t>
        </is>
      </c>
      <c r="F14" s="15" t="inlineStr"/>
      <c r="G14" s="15" t="inlineStr">
        <is>
          <t>Pending</t>
        </is>
      </c>
      <c r="H14" s="15" t="inlineStr"/>
    </row>
    <row r="15">
      <c r="A15" s="15" t="n">
        <v>11</v>
      </c>
      <c r="B15" s="16" t="inlineStr">
        <is>
          <t>3. Farm Management</t>
        </is>
      </c>
      <c r="C15" s="15" t="inlineStr">
        <is>
          <t>SOP</t>
        </is>
      </c>
      <c r="D15" s="15" t="inlineStr">
        <is>
          <t>Harden seedlings 5–7 days before transplant</t>
        </is>
      </c>
      <c r="E15" s="15" t="inlineStr">
        <is>
          <t>Mandatory</t>
        </is>
      </c>
      <c r="F15" s="15" t="inlineStr"/>
      <c r="G15" s="15" t="inlineStr">
        <is>
          <t>Pending</t>
        </is>
      </c>
      <c r="H15" s="15" t="inlineStr"/>
    </row>
    <row r="16">
      <c r="A16" s="15" t="n">
        <v>12</v>
      </c>
      <c r="B16" s="19" t="inlineStr">
        <is>
          <t>1. Production</t>
        </is>
      </c>
      <c r="C16" s="15" t="inlineStr">
        <is>
          <t>Transplanting</t>
        </is>
      </c>
      <c r="D16" s="15" t="inlineStr">
        <is>
          <t>Transplant late afternoon; 7 L horizontal bag</t>
        </is>
      </c>
      <c r="E16" s="15" t="inlineStr">
        <is>
          <t>Same depth as seedling</t>
        </is>
      </c>
      <c r="F16" s="15" t="inlineStr"/>
      <c r="G16" s="15" t="inlineStr">
        <is>
          <t>Pending</t>
        </is>
      </c>
      <c r="H16" s="15" t="inlineStr"/>
    </row>
    <row r="17">
      <c r="A17" s="15" t="n">
        <v>13</v>
      </c>
      <c r="B17" s="19" t="inlineStr">
        <is>
          <t>1. Production</t>
        </is>
      </c>
      <c r="C17" s="15" t="inlineStr">
        <is>
          <t>Plant density</t>
        </is>
      </c>
      <c r="D17" s="15" t="inlineStr">
        <is>
          <t>1 plant per bag; spacing 45–60 cm</t>
        </is>
      </c>
      <c r="E17" s="15" t="inlineStr">
        <is>
          <t>Confirmed</t>
        </is>
      </c>
      <c r="F17" s="15" t="inlineStr"/>
      <c r="G17" s="15" t="inlineStr">
        <is>
          <t>Pending</t>
        </is>
      </c>
      <c r="H17" s="15" t="inlineStr"/>
    </row>
    <row r="18">
      <c r="A18" s="15" t="n">
        <v>14</v>
      </c>
      <c r="B18" s="17" t="inlineStr">
        <is>
          <t>4. Water &amp; Fertilizer</t>
        </is>
      </c>
      <c r="C18" s="15" t="inlineStr">
        <is>
          <t>Fertilizer</t>
        </is>
      </c>
      <c r="D18" s="15" t="inlineStr">
        <is>
          <t>Compost mixed INTO media at fill (not raw manure)</t>
        </is>
      </c>
      <c r="E18" s="15" t="inlineStr">
        <is>
          <t>20–40 g composted CM/bag</t>
        </is>
      </c>
      <c r="F18" s="15" t="inlineStr"/>
      <c r="G18" s="15" t="inlineStr">
        <is>
          <t>Pending</t>
        </is>
      </c>
      <c r="H18" s="15" t="inlineStr"/>
    </row>
    <row r="19">
      <c r="A19" s="15" t="n">
        <v>15</v>
      </c>
      <c r="B19" s="20" t="inlineStr">
        <is>
          <t>6. Harvest &amp; Quality</t>
        </is>
      </c>
      <c r="C19" s="15" t="inlineStr">
        <is>
          <t>Loss reduction</t>
        </is>
      </c>
      <c r="D19" s="15" t="inlineStr">
        <is>
          <t>Shade 5–7 days post-transplant</t>
        </is>
      </c>
      <c r="E19" s="15" t="inlineStr">
        <is>
          <t>Semi-shade</t>
        </is>
      </c>
      <c r="F19" s="15" t="inlineStr"/>
      <c r="G19" s="15" t="inlineStr">
        <is>
          <t>Pending</t>
        </is>
      </c>
      <c r="H19" s="15" t="inlineStr"/>
    </row>
    <row r="20">
      <c r="A20" s="15" t="n">
        <v>16</v>
      </c>
      <c r="B20" s="19" t="inlineStr">
        <is>
          <t>1. Production</t>
        </is>
      </c>
      <c r="C20" s="15" t="inlineStr">
        <is>
          <t>Growth</t>
        </is>
      </c>
      <c r="D20" s="15" t="inlineStr">
        <is>
          <t>Stake plants week 4–5 post-transplant</t>
        </is>
      </c>
      <c r="E20" s="15" t="inlineStr">
        <is>
          <t>1 bamboo/plant</t>
        </is>
      </c>
      <c r="F20" s="15" t="inlineStr"/>
      <c r="G20" s="15" t="inlineStr">
        <is>
          <t>Pending</t>
        </is>
      </c>
      <c r="H20" s="15" t="inlineStr"/>
    </row>
    <row r="21">
      <c r="A21" s="15" t="n">
        <v>17</v>
      </c>
      <c r="B21" s="17" t="inlineStr">
        <is>
          <t>4. Water &amp; Fertilizer</t>
        </is>
      </c>
      <c r="C21" s="15" t="inlineStr">
        <is>
          <t>Irrigation</t>
        </is>
      </c>
      <c r="D21" s="15" t="inlineStr">
        <is>
          <t>Set fertigation EC schedule OR manual side-dress</t>
        </is>
      </c>
      <c r="E21" s="15" t="inlineStr">
        <is>
          <t>Week 2,5,8 feed</t>
        </is>
      </c>
      <c r="F21" s="15" t="inlineStr"/>
      <c r="G21" s="15" t="inlineStr">
        <is>
          <t>Pending</t>
        </is>
      </c>
      <c r="H21" s="15" t="inlineStr"/>
    </row>
    <row r="22">
      <c r="A22" s="15" t="n">
        <v>18</v>
      </c>
      <c r="B22" s="17" t="inlineStr">
        <is>
          <t>4. Water &amp; Fertilizer</t>
        </is>
      </c>
      <c r="C22" s="15" t="inlineStr">
        <is>
          <t>Experiments</t>
        </is>
      </c>
      <c r="D22" s="15" t="inlineStr">
        <is>
          <t>Log any trials (soak vs no-soak, bag size, etc.)</t>
        </is>
      </c>
      <c r="E22" s="15" t="inlineStr">
        <is>
          <t>Sheet 05 notes</t>
        </is>
      </c>
      <c r="F22" s="15" t="inlineStr"/>
      <c r="G22" s="15" t="inlineStr">
        <is>
          <t>Pending</t>
        </is>
      </c>
      <c r="H22" s="15" t="inlineStr"/>
    </row>
    <row r="23">
      <c r="A23" s="15" t="n">
        <v>19</v>
      </c>
      <c r="B23" s="18" t="inlineStr">
        <is>
          <t>5. Pest &amp; Disease</t>
        </is>
      </c>
      <c r="C23" s="15" t="inlineStr">
        <is>
          <t>Prevention</t>
        </is>
      </c>
      <c r="D23" s="15" t="inlineStr">
        <is>
          <t>Insect net on nursery; farm sanitation</t>
        </is>
      </c>
      <c r="E23" s="15" t="inlineStr">
        <is>
          <t>Ongoing</t>
        </is>
      </c>
      <c r="F23" s="15" t="inlineStr"/>
      <c r="G23" s="15" t="inlineStr">
        <is>
          <t>Pending</t>
        </is>
      </c>
      <c r="H23" s="15" t="inlineStr"/>
    </row>
    <row r="24">
      <c r="A24" s="15" t="n">
        <v>20</v>
      </c>
      <c r="B24" s="19" t="inlineStr">
        <is>
          <t>1. Production</t>
        </is>
      </c>
      <c r="C24" s="15" t="inlineStr">
        <is>
          <t>Flowering</t>
        </is>
      </c>
      <c r="D24" s="15" t="inlineStr">
        <is>
          <t>First flowers expected ~week 8–10 post-transplant</t>
        </is>
      </c>
      <c r="E24" s="15" t="inlineStr">
        <is>
          <t>Logged date</t>
        </is>
      </c>
      <c r="F24" s="15" t="inlineStr"/>
      <c r="G24" s="15" t="inlineStr">
        <is>
          <t>Pending</t>
        </is>
      </c>
      <c r="H24" s="15" t="inlineStr"/>
    </row>
    <row r="25">
      <c r="A25" s="15" t="n">
        <v>21</v>
      </c>
      <c r="B25" s="19" t="inlineStr">
        <is>
          <t>1. Production</t>
        </is>
      </c>
      <c r="C25" s="15" t="inlineStr">
        <is>
          <t>Fruit set</t>
        </is>
      </c>
      <c r="D25" s="15" t="inlineStr">
        <is>
          <t>Monitor flower drop — check K, water stress</t>
        </is>
      </c>
      <c r="E25" s="15" t="inlineStr">
        <is>
          <t>&lt;30% drop</t>
        </is>
      </c>
      <c r="F25" s="15" t="inlineStr"/>
      <c r="G25" s="15" t="inlineStr">
        <is>
          <t>Pending</t>
        </is>
      </c>
      <c r="H25" s="15" t="inlineStr"/>
    </row>
    <row r="26">
      <c r="A26" s="15" t="n">
        <v>22</v>
      </c>
      <c r="B26" s="17" t="inlineStr">
        <is>
          <t>4. Water &amp; Fertilizer</t>
        </is>
      </c>
      <c r="C26" s="15" t="inlineStr">
        <is>
          <t>Concentration</t>
        </is>
      </c>
      <c r="D26" s="15" t="inlineStr">
        <is>
          <t>Shift to higher K during fruiting</t>
        </is>
      </c>
      <c r="E26" s="15" t="inlineStr">
        <is>
          <t>EC 2.0–2.5</t>
        </is>
      </c>
      <c r="F26" s="15" t="inlineStr"/>
      <c r="G26" s="15" t="inlineStr">
        <is>
          <t>Pending</t>
        </is>
      </c>
      <c r="H26" s="15" t="inlineStr"/>
    </row>
    <row r="27">
      <c r="A27" s="15" t="n">
        <v>23</v>
      </c>
      <c r="B27" s="18" t="inlineStr">
        <is>
          <t>5. Pest &amp; Disease</t>
        </is>
      </c>
      <c r="C27" s="15" t="inlineStr">
        <is>
          <t>Treatment</t>
        </is>
      </c>
      <c r="D27" s="15" t="inlineStr">
        <is>
          <t>Fruit fly traps at flowering</t>
        </is>
      </c>
      <c r="E27" s="15" t="inlineStr">
        <is>
          <t>Active traps</t>
        </is>
      </c>
      <c r="F27" s="15" t="inlineStr"/>
      <c r="G27" s="15" t="inlineStr">
        <is>
          <t>Pending</t>
        </is>
      </c>
      <c r="H27" s="15" t="inlineStr"/>
    </row>
    <row r="28">
      <c r="A28" s="15" t="n">
        <v>24</v>
      </c>
      <c r="B28" s="19" t="inlineStr">
        <is>
          <t>1. Production</t>
        </is>
      </c>
      <c r="C28" s="15" t="inlineStr">
        <is>
          <t>Yield</t>
        </is>
      </c>
      <c r="D28" s="15" t="inlineStr">
        <is>
          <t>Track cumulative kg per plant</t>
        </is>
      </c>
      <c r="E28" s="15" t="inlineStr">
        <is>
          <t>0.8–1.5 kg target</t>
        </is>
      </c>
      <c r="F28" s="15" t="inlineStr"/>
      <c r="G28" s="15" t="inlineStr">
        <is>
          <t>Pending</t>
        </is>
      </c>
      <c r="H28" s="15" t="inlineStr"/>
    </row>
    <row r="29">
      <c r="A29" s="15" t="n">
        <v>25</v>
      </c>
      <c r="B29" s="19" t="inlineStr">
        <is>
          <t>1. Production</t>
        </is>
      </c>
      <c r="C29" s="15" t="inlineStr">
        <is>
          <t>Saleable yield</t>
        </is>
      </c>
      <c r="D29" s="15" t="inlineStr">
        <is>
          <t>Saleable = total − rejects</t>
        </is>
      </c>
      <c r="E29" s="15" t="inlineStr">
        <is>
          <t>&gt;90% saleable</t>
        </is>
      </c>
      <c r="F29" s="15" t="inlineStr"/>
      <c r="G29" s="15" t="inlineStr">
        <is>
          <t>Pending</t>
        </is>
      </c>
      <c r="H29" s="15" t="inlineStr"/>
    </row>
    <row r="30">
      <c r="A30" s="15" t="n">
        <v>26</v>
      </c>
      <c r="B30" s="20" t="inlineStr">
        <is>
          <t>6. Harvest &amp; Quality</t>
        </is>
      </c>
      <c r="C30" s="15" t="inlineStr">
        <is>
          <t>Maturity</t>
        </is>
      </c>
      <c r="D30" s="15" t="inlineStr">
        <is>
          <t>Pick at correct stage for buyer</t>
        </is>
      </c>
      <c r="E30" s="15" t="inlineStr">
        <is>
          <t>Per buyer spec</t>
        </is>
      </c>
      <c r="F30" s="15" t="inlineStr"/>
      <c r="G30" s="15" t="inlineStr">
        <is>
          <t>Pending</t>
        </is>
      </c>
      <c r="H30" s="15" t="inlineStr"/>
    </row>
    <row r="31">
      <c r="A31" s="15" t="n">
        <v>27</v>
      </c>
      <c r="B31" s="20" t="inlineStr">
        <is>
          <t>6. Harvest &amp; Quality</t>
        </is>
      </c>
      <c r="C31" s="15" t="inlineStr">
        <is>
          <t>Sorting</t>
        </is>
      </c>
      <c r="D31" s="15" t="inlineStr">
        <is>
          <t>Sort by size, colour, damage</t>
        </is>
      </c>
      <c r="E31" s="15" t="inlineStr">
        <is>
          <t>3 grades min</t>
        </is>
      </c>
      <c r="F31" s="15" t="inlineStr"/>
      <c r="G31" s="15" t="inlineStr">
        <is>
          <t>Pending</t>
        </is>
      </c>
      <c r="H31" s="15" t="inlineStr"/>
    </row>
    <row r="32">
      <c r="A32" s="15" t="n">
        <v>28</v>
      </c>
      <c r="B32" s="20" t="inlineStr">
        <is>
          <t>6. Harvest &amp; Quality</t>
        </is>
      </c>
      <c r="C32" s="15" t="inlineStr">
        <is>
          <t>Packaging</t>
        </is>
      </c>
      <c r="D32" s="15" t="inlineStr">
        <is>
          <t>Clean ventilated packs; label grade &amp; date</t>
        </is>
      </c>
      <c r="E32" s="15" t="inlineStr">
        <is>
          <t>No free moisture</t>
        </is>
      </c>
      <c r="F32" s="15" t="inlineStr"/>
      <c r="G32" s="15" t="inlineStr">
        <is>
          <t>Pending</t>
        </is>
      </c>
      <c r="H32" s="15" t="inlineStr"/>
    </row>
    <row r="33">
      <c r="A33" s="15" t="n">
        <v>29</v>
      </c>
      <c r="B33" s="20" t="inlineStr">
        <is>
          <t>6. Harvest &amp; Quality</t>
        </is>
      </c>
      <c r="C33" s="15" t="inlineStr">
        <is>
          <t>Storage</t>
        </is>
      </c>
      <c r="D33" s="15" t="inlineStr">
        <is>
          <t>Store cool, shaded; sell within 24–48 h</t>
        </is>
      </c>
      <c r="E33" s="15" t="inlineStr">
        <is>
          <t>No condensation</t>
        </is>
      </c>
      <c r="F33" s="15" t="inlineStr"/>
      <c r="G33" s="15" t="inlineStr">
        <is>
          <t>Pending</t>
        </is>
      </c>
      <c r="H33" s="15" t="inlineStr"/>
    </row>
    <row r="34">
      <c r="A34" s="15" t="n">
        <v>30</v>
      </c>
      <c r="B34" s="23" t="inlineStr">
        <is>
          <t>2. Financials</t>
        </is>
      </c>
      <c r="C34" s="15" t="inlineStr">
        <is>
          <t>Cost/kg</t>
        </is>
      </c>
      <c r="D34" s="15" t="inlineStr">
        <is>
          <t>Calculate total cost ÷ saleable kg</t>
        </is>
      </c>
      <c r="E34" s="15" t="inlineStr">
        <is>
          <t>Target &lt;RM 8/kg</t>
        </is>
      </c>
      <c r="F34" s="15" t="inlineStr"/>
      <c r="G34" s="15" t="inlineStr">
        <is>
          <t>Pending</t>
        </is>
      </c>
      <c r="H34" s="15" t="inlineStr"/>
    </row>
    <row r="35">
      <c r="A35" s="15" t="n">
        <v>31</v>
      </c>
      <c r="B35" s="23" t="inlineStr">
        <is>
          <t>2. Financials</t>
        </is>
      </c>
      <c r="C35" s="15" t="inlineStr">
        <is>
          <t>Break-even</t>
        </is>
      </c>
      <c r="D35" s="15" t="inlineStr">
        <is>
          <t>Break-even kg = total cost ÷ price/kg</t>
        </is>
      </c>
      <c r="E35" s="15" t="inlineStr">
        <is>
          <t>Logged</t>
        </is>
      </c>
      <c r="F35" s="15" t="inlineStr"/>
      <c r="G35" s="15" t="inlineStr">
        <is>
          <t>Pending</t>
        </is>
      </c>
      <c r="H35" s="15" t="inlineStr"/>
    </row>
    <row r="36">
      <c r="A36" s="15" t="n">
        <v>32</v>
      </c>
      <c r="B36" s="23" t="inlineStr">
        <is>
          <t>2. Financials</t>
        </is>
      </c>
      <c r="C36" s="15" t="inlineStr">
        <is>
          <t>Profit</t>
        </is>
      </c>
      <c r="D36" s="15" t="inlineStr">
        <is>
          <t>Revenue − OPEX − CAPEX (amortised)</t>
        </is>
      </c>
      <c r="E36" s="15" t="inlineStr">
        <is>
          <t>Positive?</t>
        </is>
      </c>
      <c r="F36" s="15" t="inlineStr"/>
      <c r="G36" s="15" t="inlineStr">
        <is>
          <t>Pending</t>
        </is>
      </c>
      <c r="H36" s="15" t="inlineStr"/>
    </row>
    <row r="37">
      <c r="A37" s="15" t="n">
        <v>33</v>
      </c>
      <c r="B37" s="23" t="inlineStr">
        <is>
          <t>2. Financials</t>
        </is>
      </c>
      <c r="C37" s="15" t="inlineStr">
        <is>
          <t>ROI</t>
        </is>
      </c>
      <c r="D37" s="15" t="inlineStr">
        <is>
          <t>ROI = profit ÷ total investment × 100</t>
        </is>
      </c>
      <c r="E37" s="15" t="inlineStr">
        <is>
          <t>Logged</t>
        </is>
      </c>
      <c r="F37" s="15" t="inlineStr"/>
      <c r="G37" s="15" t="inlineStr">
        <is>
          <t>Pending</t>
        </is>
      </c>
      <c r="H37" s="15" t="inlineStr"/>
    </row>
    <row r="38">
      <c r="A38" s="15" t="n">
        <v>34</v>
      </c>
      <c r="B38" s="22" t="inlineStr">
        <is>
          <t>7. Market &amp; Sales</t>
        </is>
      </c>
      <c r="C38" s="15" t="inlineStr">
        <is>
          <t>Multiple buyers</t>
        </is>
      </c>
      <c r="D38" s="15" t="inlineStr">
        <is>
          <t>Maintain 2+ buyer relationships</t>
        </is>
      </c>
      <c r="E38" s="15" t="inlineStr">
        <is>
          <t>Risk reduction</t>
        </is>
      </c>
      <c r="F38" s="15" t="inlineStr"/>
      <c r="G38" s="15" t="inlineStr">
        <is>
          <t>Pending</t>
        </is>
      </c>
      <c r="H38" s="15" t="inlineStr"/>
    </row>
    <row r="39">
      <c r="A39" s="15" t="n">
        <v>35</v>
      </c>
      <c r="B39" s="18" t="inlineStr">
        <is>
          <t>5. Pest &amp; Disease</t>
        </is>
      </c>
      <c r="C39" s="15" t="inlineStr">
        <is>
          <t>Recovery</t>
        </is>
      </c>
      <c r="D39" s="15" t="inlineStr">
        <is>
          <t>Solarize media 2–4 weeks if reusing bags</t>
        </is>
      </c>
      <c r="E39" s="15" t="inlineStr">
        <is>
          <t>EC &lt;2.0 before reuse</t>
        </is>
      </c>
      <c r="F39" s="15" t="inlineStr"/>
      <c r="G39" s="15" t="inlineStr">
        <is>
          <t>Pending</t>
        </is>
      </c>
      <c r="H39" s="15" t="inlineStr"/>
    </row>
    <row r="40">
      <c r="A40" s="15" t="n">
        <v>36</v>
      </c>
      <c r="B40" s="24" t="inlineStr">
        <is>
          <t>9. Scaling</t>
        </is>
      </c>
      <c r="C40" s="15" t="inlineStr">
        <is>
          <t>Improve</t>
        </is>
      </c>
      <c r="D40" s="15" t="inlineStr">
        <is>
          <t>List top 3 problems this cycle</t>
        </is>
      </c>
      <c r="E40" s="15" t="inlineStr">
        <is>
          <t>Action plan</t>
        </is>
      </c>
      <c r="F40" s="15" t="inlineStr"/>
      <c r="G40" s="15" t="inlineStr">
        <is>
          <t>Pending</t>
        </is>
      </c>
      <c r="H40" s="15" t="inlineStr"/>
    </row>
    <row r="41">
      <c r="A41" s="15" t="n">
        <v>37</v>
      </c>
      <c r="B41" s="24" t="inlineStr">
        <is>
          <t>9. Scaling</t>
        </is>
      </c>
      <c r="C41" s="15" t="inlineStr">
        <is>
          <t>Repeat</t>
        </is>
      </c>
      <c r="D41" s="15" t="inlineStr">
        <is>
          <t>Document what to keep/change next cycle</t>
        </is>
      </c>
      <c r="E41" s="15" t="inlineStr">
        <is>
          <t>Written</t>
        </is>
      </c>
      <c r="F41" s="15" t="inlineStr"/>
      <c r="G41" s="15" t="inlineStr">
        <is>
          <t>Pending</t>
        </is>
      </c>
      <c r="H41" s="15" t="inlineStr"/>
    </row>
    <row r="42">
      <c r="A42" s="15" t="n">
        <v>38</v>
      </c>
      <c r="B42" s="24" t="inlineStr">
        <is>
          <t>9. Scaling</t>
        </is>
      </c>
      <c r="C42" s="15" t="inlineStr">
        <is>
          <t>Prove profit</t>
        </is>
      </c>
      <c r="D42" s="15" t="inlineStr">
        <is>
          <t>Confirm profit per bag before expanding</t>
        </is>
      </c>
      <c r="E42" s="15" t="inlineStr">
        <is>
          <t>RM/plant known</t>
        </is>
      </c>
      <c r="F42" s="15" t="inlineStr"/>
      <c r="G42" s="15" t="inlineStr">
        <is>
          <t>Pending</t>
        </is>
      </c>
      <c r="H42" s="15" t="inlineStr"/>
    </row>
    <row r="43">
      <c r="A43" s="15" t="n">
        <v>39</v>
      </c>
      <c r="B43" s="24" t="inlineStr">
        <is>
          <t>9. Scaling</t>
        </is>
      </c>
      <c r="C43" s="15" t="inlineStr">
        <is>
          <t>Expand</t>
        </is>
      </c>
      <c r="D43" s="15" t="inlineStr">
        <is>
          <t>Increase bags only if survival &gt;90% &amp; profit &gt;0</t>
        </is>
      </c>
      <c r="E43" s="15" t="inlineStr">
        <is>
          <t>Go/no-go</t>
        </is>
      </c>
      <c r="F43" s="15" t="inlineStr"/>
      <c r="G43" s="15" t="inlineStr">
        <is>
          <t>Pending</t>
        </is>
      </c>
      <c r="H43" s="15" t="inlineStr"/>
    </row>
    <row r="44">
      <c r="A44" s="15" t="n">
        <v>40</v>
      </c>
      <c r="B44" s="24" t="inlineStr">
        <is>
          <t>9. Scaling</t>
        </is>
      </c>
      <c r="C44" s="15" t="inlineStr">
        <is>
          <t>Replicate</t>
        </is>
      </c>
      <c r="D44" s="15" t="inlineStr">
        <is>
          <t>Copy SOP to new site/operator</t>
        </is>
      </c>
      <c r="E44" s="15" t="inlineStr">
        <is>
          <t>SOP document</t>
        </is>
      </c>
      <c r="F44" s="15" t="inlineStr"/>
      <c r="G44" s="15" t="inlineStr">
        <is>
          <t>Pending</t>
        </is>
      </c>
      <c r="H44" s="15" t="inlineStr"/>
    </row>
    <row r="45">
      <c r="A45" s="15" t="n">
        <v>41</v>
      </c>
      <c r="B45" s="24" t="inlineStr">
        <is>
          <t>9. Scaling</t>
        </is>
      </c>
      <c r="C45" s="15" t="inlineStr">
        <is>
          <t>SOP</t>
        </is>
      </c>
      <c r="D45" s="15" t="inlineStr">
        <is>
          <t>Update SOP with lessons learned</t>
        </is>
      </c>
      <c r="E45" s="15" t="inlineStr">
        <is>
          <t>Version +1</t>
        </is>
      </c>
      <c r="F45" s="15" t="inlineStr"/>
      <c r="G45" s="15" t="inlineStr">
        <is>
          <t>Pending</t>
        </is>
      </c>
      <c r="H45" s="15" t="inlineStr"/>
    </row>
  </sheetData>
  <dataValidations count="1">
    <dataValidation sqref="G5:G45" showDropDown="0" showInputMessage="0" showErrorMessage="0" allowBlank="1" error="Choose: Pending, Done, Skip, N/A, Issue" type="list">
      <formula1>"Pending,Done,Skip,N/A,Issue"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PRODUCTION TRACKER</t>
        </is>
      </c>
    </row>
    <row r="3">
      <c r="A3" s="4" t="inlineStr">
        <is>
          <t>Plant ID / Bag #</t>
        </is>
      </c>
      <c r="B3" s="4" t="inlineStr">
        <is>
          <t>Variety</t>
        </is>
      </c>
      <c r="C3" s="4" t="inlineStr">
        <is>
          <t>Seed Lot</t>
        </is>
      </c>
      <c r="D3" s="4" t="inlineStr">
        <is>
          <t>Sow Date</t>
        </is>
      </c>
      <c r="E3" s="4" t="inlineStr">
        <is>
          <t>Germ %</t>
        </is>
      </c>
      <c r="F3" s="4" t="inlineStr">
        <is>
          <t>Transplant Date</t>
        </is>
      </c>
      <c r="G3" s="4" t="inlineStr">
        <is>
          <t>Bag Size (L)</t>
        </is>
      </c>
      <c r="H3" s="4" t="inlineStr">
        <is>
          <t>Media Mix</t>
        </is>
      </c>
      <c r="I3" s="4" t="inlineStr">
        <is>
          <t>Growth Stage</t>
        </is>
      </c>
      <c r="J3" s="4" t="inlineStr">
        <is>
          <t>Height (cm)</t>
        </is>
      </c>
      <c r="K3" s="4" t="inlineStr">
        <is>
          <t>Flowering Date</t>
        </is>
      </c>
      <c r="L3" s="4" t="inlineStr">
        <is>
          <t>First Harvest</t>
        </is>
      </c>
      <c r="M3" s="4" t="inlineStr">
        <is>
          <t>Total Yield (kg)</t>
        </is>
      </c>
      <c r="N3" s="4" t="inlineStr">
        <is>
          <t>Saleable (kg)</t>
        </is>
      </c>
      <c r="O3" s="4" t="inlineStr">
        <is>
          <t>Notes</t>
        </is>
      </c>
      <c r="P3" s="4" t="inlineStr">
        <is>
          <t>Experiment Tag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</sheetData>
  <dataValidations count="1">
    <dataValidation sqref="I4:I203" showDropDown="0" showInputMessage="0" showErrorMessage="0" allowBlank="1" type="list">
      <formula1>"Nursery,Vegetative,Flowering,Fruit set,Harvesting,Ended"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0" customWidth="1" min="4" max="4"/>
    <col width="14" customWidth="1" min="5" max="5"/>
    <col width="8" customWidth="1" min="6" max="6"/>
    <col width="12" customWidth="1" min="7" max="7"/>
    <col width="14" customWidth="1" min="8" max="8"/>
    <col width="25" customWidth="1" min="9" max="9"/>
  </cols>
  <sheetData>
    <row r="1">
      <c r="A1" s="2" t="inlineStr">
        <is>
          <t>FINANCIAL TRACKER (CAPEX + OPEX)</t>
        </is>
      </c>
    </row>
    <row r="3">
      <c r="A3" s="4" t="inlineStr">
        <is>
          <t>Date</t>
        </is>
      </c>
      <c r="B3" s="4" t="inlineStr">
        <is>
          <t>Category</t>
        </is>
      </c>
      <c r="C3" s="4" t="inlineStr">
        <is>
          <t>Type</t>
        </is>
      </c>
      <c r="D3" s="4" t="inlineStr">
        <is>
          <t>Item</t>
        </is>
      </c>
      <c r="E3" s="4" t="inlineStr">
        <is>
          <t>Amount (RM)</t>
        </is>
      </c>
      <c r="F3" s="4" t="inlineStr">
        <is>
          <t>Qty</t>
        </is>
      </c>
      <c r="G3" s="4" t="inlineStr">
        <is>
          <t>Unit Cost</t>
        </is>
      </c>
      <c r="H3" s="4" t="inlineStr">
        <is>
          <t>Payment Method</t>
        </is>
      </c>
      <c r="I3" s="4" t="inlineStr">
        <is>
          <t>Notes</t>
        </is>
      </c>
    </row>
    <row r="4">
      <c r="B4" t="inlineStr">
        <is>
          <t>Equipment</t>
        </is>
      </c>
      <c r="C4" t="inlineStr">
        <is>
          <t>CAPEX</t>
        </is>
      </c>
      <c r="D4" t="inlineStr">
        <is>
          <t>Drip irrigation kit</t>
        </is>
      </c>
      <c r="E4" t="n">
        <v>350</v>
      </c>
    </row>
    <row r="5">
      <c r="B5" t="inlineStr">
        <is>
          <t>Equipment</t>
        </is>
      </c>
      <c r="C5" t="inlineStr">
        <is>
          <t>CAPEX</t>
        </is>
      </c>
      <c r="D5" t="inlineStr">
        <is>
          <t>EC/pH meter</t>
        </is>
      </c>
      <c r="E5" t="n">
        <v>80</v>
      </c>
    </row>
    <row r="6">
      <c r="B6" t="inlineStr">
        <is>
          <t>Equipment</t>
        </is>
      </c>
      <c r="C6" t="inlineStr">
        <is>
          <t>CAPEX</t>
        </is>
      </c>
      <c r="D6" t="inlineStr">
        <is>
          <t>Shade net 30%</t>
        </is>
      </c>
      <c r="E6" t="n">
        <v>200</v>
      </c>
    </row>
    <row r="7">
      <c r="B7" t="inlineStr">
        <is>
          <t>Seeds</t>
        </is>
      </c>
      <c r="C7" t="inlineStr">
        <is>
          <t>OPEX</t>
        </is>
      </c>
      <c r="D7" t="inlineStr">
        <is>
          <t>Kulai F1 seed 10g</t>
        </is>
      </c>
      <c r="E7" t="n">
        <v>25</v>
      </c>
    </row>
    <row r="8">
      <c r="B8" t="inlineStr">
        <is>
          <t>Media</t>
        </is>
      </c>
      <c r="C8" t="inlineStr">
        <is>
          <t>OPEX</t>
        </is>
      </c>
      <c r="D8" t="inlineStr">
        <is>
          <t>Cocopeat 5kg × 20</t>
        </is>
      </c>
      <c r="E8" t="n">
        <v>120</v>
      </c>
    </row>
    <row r="9">
      <c r="B9" t="inlineStr">
        <is>
          <t>Media</t>
        </is>
      </c>
      <c r="C9" t="inlineStr">
        <is>
          <t>OPEX</t>
        </is>
      </c>
      <c r="D9" t="inlineStr">
        <is>
          <t>Compost 50kg</t>
        </is>
      </c>
      <c r="E9" t="n">
        <v>40</v>
      </c>
    </row>
    <row r="10">
      <c r="B10" t="inlineStr">
        <is>
          <t>Fertiliser</t>
        </is>
      </c>
      <c r="C10" t="inlineStr">
        <is>
          <t>OPEX</t>
        </is>
      </c>
      <c r="D10" t="inlineStr">
        <is>
          <t>NPK 12:12:17 25kg</t>
        </is>
      </c>
      <c r="E10" t="n">
        <v>55</v>
      </c>
    </row>
    <row r="11">
      <c r="B11" t="inlineStr">
        <is>
          <t>Packaging</t>
        </is>
      </c>
      <c r="C11" t="inlineStr">
        <is>
          <t>OPEX</t>
        </is>
      </c>
      <c r="D11" t="inlineStr">
        <is>
          <t>Plastic crates</t>
        </is>
      </c>
      <c r="E11" t="n">
        <v>30</v>
      </c>
    </row>
    <row r="12">
      <c r="B12" t="inlineStr">
        <is>
          <t>Labour</t>
        </is>
      </c>
      <c r="C12" t="inlineStr">
        <is>
          <t>OPEX</t>
        </is>
      </c>
      <c r="D12" t="inlineStr">
        <is>
          <t>Transplanting (own)</t>
        </is>
      </c>
      <c r="E12" t="n">
        <v>0</v>
      </c>
    </row>
  </sheetData>
  <dataValidations count="2">
    <dataValidation sqref="C4:C500" showDropDown="0" showInputMessage="0" showErrorMessage="0" allowBlank="1" type="list">
      <formula1>"CAPEX,OPEX"</formula1>
    </dataValidation>
    <dataValidation sqref="B4:B500" showDropDown="0" showInputMessage="0" showErrorMessage="0" allowBlank="1" type="list">
      <formula1>"Seeds,Media,Fertiliser,Pesticide,Labour,Utilities,Packaging,Transport,Equipment,Other"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WATER &amp; FERTILIZER LOG</t>
        </is>
      </c>
    </row>
    <row r="2">
      <c r="A2" t="inlineStr">
        <is>
          <t>*DAT = Days After Transplant</t>
        </is>
      </c>
    </row>
    <row r="3">
      <c r="A3" s="4" t="inlineStr">
        <is>
          <t>Date</t>
        </is>
      </c>
      <c r="B3" s="4" t="inlineStr">
        <is>
          <t>Time</t>
        </is>
      </c>
      <c r="C3" s="4" t="inlineStr">
        <is>
          <t>Bag #/Zone</t>
        </is>
      </c>
      <c r="D3" s="4" t="inlineStr">
        <is>
          <t>Method</t>
        </is>
      </c>
      <c r="E3" s="4" t="inlineStr">
        <is>
          <t>Water (ml)</t>
        </is>
      </c>
      <c r="F3" s="4" t="inlineStr">
        <is>
          <t>Fertiliser Used</t>
        </is>
      </c>
      <c r="G3" s="4" t="inlineStr">
        <is>
          <t>EC (mS/cm)</t>
        </is>
      </c>
      <c r="H3" s="4" t="inlineStr">
        <is>
          <t>pH</t>
        </is>
      </c>
      <c r="I3" s="4" t="inlineStr">
        <is>
          <t>Leachate EC</t>
        </is>
      </c>
      <c r="J3" s="4" t="inlineStr">
        <is>
          <t>Weather</t>
        </is>
      </c>
      <c r="K3" s="4" t="inlineStr">
        <is>
          <t>DAT*</t>
        </is>
      </c>
      <c r="L3" s="4" t="inlineStr">
        <is>
          <t>Stage</t>
        </is>
      </c>
      <c r="M3" s="4" t="inlineStr">
        <is>
          <t>Notes</t>
        </is>
      </c>
    </row>
  </sheetData>
  <dataValidations count="2">
    <dataValidation sqref="D4:D500" showDropDown="0" showInputMessage="0" showErrorMessage="0" allowBlank="1" type="list">
      <formula1>"Hand water,Fertigation drip,Flush only,Rain (no action)"</formula1>
    </dataValidation>
    <dataValidation sqref="L4:L500" showDropDown="0" showInputMessage="0" showErrorMessage="0" allowBlank="1" type="list">
      <formula1>"Seedling,Establishment,Vegetative,Flowering,Fruiting,Flush"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PEST &amp; DISEASE LOG</t>
        </is>
      </c>
    </row>
    <row r="3">
      <c r="A3" s="4" t="inlineStr">
        <is>
          <t>Date</t>
        </is>
      </c>
      <c r="B3" s="4" t="inlineStr">
        <is>
          <t>Bag #/Zone</t>
        </is>
      </c>
      <c r="C3" s="4" t="inlineStr">
        <is>
          <t>Type</t>
        </is>
      </c>
      <c r="D3" s="4" t="inlineStr">
        <is>
          <t>Pest/Disease Name</t>
        </is>
      </c>
      <c r="E3" s="4" t="inlineStr">
        <is>
          <t>Severity (1-5)</t>
        </is>
      </c>
      <c r="F3" s="4" t="inlineStr">
        <is>
          <t>% Plants Affected</t>
        </is>
      </c>
      <c r="G3" s="4" t="inlineStr">
        <is>
          <t>Identification Method</t>
        </is>
      </c>
      <c r="H3" s="4" t="inlineStr">
        <is>
          <t>Treatment Applied</t>
        </is>
      </c>
      <c r="I3" s="4" t="inlineStr">
        <is>
          <t>TDMH Date</t>
        </is>
      </c>
      <c r="J3" s="4" t="inlineStr">
        <is>
          <t>Outcome</t>
        </is>
      </c>
      <c r="K3" s="4" t="inlineStr">
        <is>
          <t>Loss (kg or plants)</t>
        </is>
      </c>
      <c r="L3" s="4" t="inlineStr">
        <is>
          <t>Sanitation Done?</t>
        </is>
      </c>
      <c r="M3" s="4" t="inlineStr">
        <is>
          <t>SOP Ref</t>
        </is>
      </c>
      <c r="N3" s="4" t="inlineStr">
        <is>
          <t>Recovery Notes</t>
        </is>
      </c>
    </row>
  </sheetData>
  <dataValidations count="2">
    <dataValidation sqref="C4:C500" showDropDown="0" showInputMessage="0" showErrorMessage="0" allowBlank="1" type="list">
      <formula1>"Pest,Disease,Disorder"</formula1>
    </dataValidation>
    <dataValidation sqref="J4:J500" showDropDown="0" showInputMessage="0" showErrorMessage="0" allowBlank="1" type="list">
      <formula1>"Resolved,Monitoring,Plant removed,Spreading,Recovered"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" t="inlineStr">
        <is>
          <t>HARVEST &amp; QUALITY LOG</t>
        </is>
      </c>
    </row>
    <row r="3">
      <c r="A3" s="4" t="inlineStr">
        <is>
          <t>Date</t>
        </is>
      </c>
      <c r="B3" s="4" t="inlineStr">
        <is>
          <t>Bag #/Zone</t>
        </is>
      </c>
      <c r="C3" s="4" t="inlineStr">
        <is>
          <t>Pick #</t>
        </is>
      </c>
      <c r="D3" s="4" t="inlineStr">
        <is>
          <t>Maturity</t>
        </is>
      </c>
      <c r="E3" s="4" t="inlineStr">
        <is>
          <t>Grade A (kg)</t>
        </is>
      </c>
      <c r="F3" s="4" t="inlineStr">
        <is>
          <t>Grade B (kg)</t>
        </is>
      </c>
      <c r="G3" s="4" t="inlineStr">
        <is>
          <t>Grade C (kg)</t>
        </is>
      </c>
      <c r="H3" s="4" t="inlineStr">
        <is>
          <t>Total Picked (kg)</t>
        </is>
      </c>
      <c r="I3" s="4" t="inlineStr">
        <is>
          <t>Saleable (kg)</t>
        </is>
      </c>
      <c r="J3" s="4" t="inlineStr">
        <is>
          <t>Reject (kg)</t>
        </is>
      </c>
      <c r="K3" s="4" t="inlineStr">
        <is>
          <t>Reject Reason</t>
        </is>
      </c>
      <c r="L3" s="4" t="inlineStr">
        <is>
          <t>Storage Location</t>
        </is>
      </c>
      <c r="M3" s="4" t="inlineStr">
        <is>
          <t>Hours to Sale</t>
        </is>
      </c>
      <c r="N3" s="4" t="inlineStr">
        <is>
          <t>Notes</t>
        </is>
      </c>
    </row>
    <row r="4">
      <c r="H4">
        <f>SUM(E4:G4)</f>
        <v/>
      </c>
      <c r="I4">
        <f>E4+F4</f>
        <v/>
      </c>
      <c r="J4">
        <f>G4</f>
        <v/>
      </c>
    </row>
    <row r="5">
      <c r="H5">
        <f>SUM(E5:G5)</f>
        <v/>
      </c>
      <c r="I5">
        <f>E5+F5</f>
        <v/>
      </c>
      <c r="J5">
        <f>G5</f>
        <v/>
      </c>
    </row>
    <row r="6">
      <c r="H6">
        <f>SUM(E6:G6)</f>
        <v/>
      </c>
      <c r="I6">
        <f>E6+F6</f>
        <v/>
      </c>
      <c r="J6">
        <f>G6</f>
        <v/>
      </c>
    </row>
    <row r="7">
      <c r="H7">
        <f>SUM(E7:G7)</f>
        <v/>
      </c>
      <c r="I7">
        <f>E7+F7</f>
        <v/>
      </c>
      <c r="J7">
        <f>G7</f>
        <v/>
      </c>
    </row>
    <row r="8">
      <c r="H8">
        <f>SUM(E8:G8)</f>
        <v/>
      </c>
      <c r="I8">
        <f>E8+F8</f>
        <v/>
      </c>
      <c r="J8">
        <f>G8</f>
        <v/>
      </c>
    </row>
    <row r="9">
      <c r="H9">
        <f>SUM(E9:G9)</f>
        <v/>
      </c>
      <c r="I9">
        <f>E9+F9</f>
        <v/>
      </c>
      <c r="J9">
        <f>G9</f>
        <v/>
      </c>
    </row>
    <row r="10">
      <c r="H10">
        <f>SUM(E10:G10)</f>
        <v/>
      </c>
      <c r="I10">
        <f>E10+F10</f>
        <v/>
      </c>
      <c r="J10">
        <f>G10</f>
        <v/>
      </c>
    </row>
    <row r="11">
      <c r="H11">
        <f>SUM(E11:G11)</f>
        <v/>
      </c>
      <c r="I11">
        <f>E11+F11</f>
        <v/>
      </c>
      <c r="J11">
        <f>G11</f>
        <v/>
      </c>
    </row>
    <row r="12">
      <c r="H12">
        <f>SUM(E12:G12)</f>
        <v/>
      </c>
      <c r="I12">
        <f>E12+F12</f>
        <v/>
      </c>
      <c r="J12">
        <f>G12</f>
        <v/>
      </c>
    </row>
    <row r="13">
      <c r="H13">
        <f>SUM(E13:G13)</f>
        <v/>
      </c>
      <c r="I13">
        <f>E13+F13</f>
        <v/>
      </c>
      <c r="J13">
        <f>G13</f>
        <v/>
      </c>
    </row>
  </sheetData>
  <dataValidations count="1">
    <dataValidation sqref="D4:D500" showDropDown="0" showInputMessage="0" showErrorMessage="0" allowBlank="1" type="list">
      <formula1>"Green,Breaker,Red ripe,Overripe"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MARKET &amp; SALES LOG</t>
        </is>
      </c>
    </row>
    <row r="3">
      <c r="A3" s="4" t="inlineStr">
        <is>
          <t>Date</t>
        </is>
      </c>
      <c r="B3" s="4" t="inlineStr">
        <is>
          <t>Buyer Type</t>
        </is>
      </c>
      <c r="C3" s="4" t="inlineStr">
        <is>
          <t>Buyer Name</t>
        </is>
      </c>
      <c r="D3" s="4" t="inlineStr">
        <is>
          <t>Channel</t>
        </is>
      </c>
      <c r="E3" s="4" t="inlineStr">
        <is>
          <t>Grade</t>
        </is>
      </c>
      <c r="F3" s="4" t="inlineStr">
        <is>
          <t>Qty (kg)</t>
        </is>
      </c>
      <c r="G3" s="4" t="inlineStr">
        <is>
          <t>Price (RM/kg)</t>
        </is>
      </c>
      <c r="H3" s="4" t="inlineStr">
        <is>
          <t>Revenue (RM)</t>
        </is>
      </c>
      <c r="I3" s="4" t="inlineStr">
        <is>
          <t>Quality Feedback</t>
        </is>
      </c>
      <c r="J3" s="4" t="inlineStr">
        <is>
          <t>Payment Status</t>
        </is>
      </c>
      <c r="K3" s="4" t="inlineStr">
        <is>
          <t>Notes</t>
        </is>
      </c>
    </row>
    <row r="4">
      <c r="H4">
        <f>F4*G4</f>
        <v/>
      </c>
    </row>
    <row r="5">
      <c r="H5">
        <f>F5*G5</f>
        <v/>
      </c>
    </row>
    <row r="6">
      <c r="H6">
        <f>F6*G6</f>
        <v/>
      </c>
    </row>
    <row r="7">
      <c r="H7">
        <f>F7*G7</f>
        <v/>
      </c>
    </row>
    <row r="8">
      <c r="H8">
        <f>F8*G8</f>
        <v/>
      </c>
    </row>
    <row r="9">
      <c r="H9">
        <f>F9*G9</f>
        <v/>
      </c>
    </row>
    <row r="10">
      <c r="H10">
        <f>F10*G10</f>
        <v/>
      </c>
    </row>
    <row r="11">
      <c r="H11">
        <f>F11*G11</f>
        <v/>
      </c>
    </row>
    <row r="12">
      <c r="H12">
        <f>F12*G12</f>
        <v/>
      </c>
    </row>
    <row r="13">
      <c r="H13">
        <f>F13*G13</f>
        <v/>
      </c>
    </row>
    <row r="14">
      <c r="H14">
        <f>F14*G14</f>
        <v/>
      </c>
    </row>
    <row r="15">
      <c r="H15">
        <f>F15*G15</f>
        <v/>
      </c>
    </row>
    <row r="16">
      <c r="H16">
        <f>F16*G16</f>
        <v/>
      </c>
    </row>
    <row r="17">
      <c r="H17">
        <f>F17*G17</f>
        <v/>
      </c>
    </row>
    <row r="18">
      <c r="H18">
        <f>F18*G18</f>
        <v/>
      </c>
    </row>
    <row r="19">
      <c r="H19">
        <f>F19*G19</f>
        <v/>
      </c>
    </row>
    <row r="20">
      <c r="H20">
        <f>F20*G20</f>
        <v/>
      </c>
    </row>
    <row r="21">
      <c r="H21">
        <f>F21*G21</f>
        <v/>
      </c>
    </row>
    <row r="22">
      <c r="H22">
        <f>F22*G22</f>
        <v/>
      </c>
    </row>
    <row r="23">
      <c r="H23">
        <f>F23*G23</f>
        <v/>
      </c>
    </row>
    <row r="24">
      <c r="H24">
        <f>F24*G24</f>
        <v/>
      </c>
    </row>
    <row r="25">
      <c r="H25">
        <f>F25*G25</f>
        <v/>
      </c>
    </row>
    <row r="26">
      <c r="H26">
        <f>F26*G26</f>
        <v/>
      </c>
    </row>
    <row r="27">
      <c r="H27">
        <f>F27*G27</f>
        <v/>
      </c>
    </row>
    <row r="28">
      <c r="H28">
        <f>F28*G28</f>
        <v/>
      </c>
    </row>
    <row r="29">
      <c r="H29">
        <f>F29*G29</f>
        <v/>
      </c>
    </row>
    <row r="30">
      <c r="H30">
        <f>F30*G30</f>
        <v/>
      </c>
    </row>
    <row r="31">
      <c r="H31">
        <f>F31*G31</f>
        <v/>
      </c>
    </row>
    <row r="32">
      <c r="H32">
        <f>F32*G32</f>
        <v/>
      </c>
    </row>
    <row r="33">
      <c r="H33">
        <f>F33*G33</f>
        <v/>
      </c>
    </row>
    <row r="34">
      <c r="H34">
        <f>F34*G34</f>
        <v/>
      </c>
    </row>
    <row r="35">
      <c r="H35">
        <f>F35*G35</f>
        <v/>
      </c>
    </row>
    <row r="36">
      <c r="H36">
        <f>F36*G36</f>
        <v/>
      </c>
    </row>
    <row r="37">
      <c r="H37">
        <f>F37*G37</f>
        <v/>
      </c>
    </row>
    <row r="38">
      <c r="H38">
        <f>F38*G38</f>
        <v/>
      </c>
    </row>
    <row r="39">
      <c r="H39">
        <f>F39*G39</f>
        <v/>
      </c>
    </row>
    <row r="40">
      <c r="H40">
        <f>F40*G40</f>
        <v/>
      </c>
    </row>
    <row r="41">
      <c r="H41">
        <f>F41*G41</f>
        <v/>
      </c>
    </row>
    <row r="42">
      <c r="H42">
        <f>F42*G42</f>
        <v/>
      </c>
    </row>
    <row r="43">
      <c r="H43">
        <f>F43*G43</f>
        <v/>
      </c>
    </row>
    <row r="44">
      <c r="H44">
        <f>F44*G44</f>
        <v/>
      </c>
    </row>
    <row r="45">
      <c r="H45">
        <f>F45*G45</f>
        <v/>
      </c>
    </row>
    <row r="46">
      <c r="H46">
        <f>F46*G46</f>
        <v/>
      </c>
    </row>
    <row r="47">
      <c r="H47">
        <f>F47*G47</f>
        <v/>
      </c>
    </row>
    <row r="48">
      <c r="H48">
        <f>F48*G48</f>
        <v/>
      </c>
    </row>
    <row r="49">
      <c r="H49">
        <f>F49*G49</f>
        <v/>
      </c>
    </row>
    <row r="50">
      <c r="H50">
        <f>F50*G50</f>
        <v/>
      </c>
    </row>
    <row r="51">
      <c r="H51">
        <f>F51*G51</f>
        <v/>
      </c>
    </row>
    <row r="52">
      <c r="H52">
        <f>F52*G52</f>
        <v/>
      </c>
    </row>
    <row r="53">
      <c r="H53">
        <f>F53*G53</f>
        <v/>
      </c>
    </row>
  </sheetData>
  <dataValidations count="2">
    <dataValidation sqref="B4:B500" showDropDown="0" showInputMessage="0" showErrorMessage="0" allowBlank="1" type="list">
      <formula1>"Restaurant,Wholesaler,Wet market,Direct consumer,Online,Contract"</formula1>
    </dataValidation>
    <dataValidation sqref="J4:J500" showDropDown="0" showInputMessage="0" showErrorMessage="0" allowBlank="1" type="list">
      <formula1>"Paid,Pending,COD,Partial"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28" customWidth="1" min="4" max="4"/>
    <col width="12" customWidth="1" min="5" max="5"/>
    <col width="12" customWidth="1" min="6" max="6"/>
    <col width="25" customWidth="1" min="7" max="7"/>
  </cols>
  <sheetData>
    <row r="1">
      <c r="A1" s="2" t="inlineStr">
        <is>
          <t>SCALING ROADMAP — Start Small → Prove Profit → Expand</t>
        </is>
      </c>
    </row>
    <row r="3">
      <c r="A3" s="4" t="inlineStr">
        <is>
          <t>Phase</t>
        </is>
      </c>
      <c r="B3" s="4" t="inlineStr">
        <is>
          <t>Step</t>
        </is>
      </c>
      <c r="C3" s="4" t="inlineStr">
        <is>
          <t>Action</t>
        </is>
      </c>
      <c r="D3" s="4" t="inlineStr">
        <is>
          <t>Success Criteria</t>
        </is>
      </c>
      <c r="E3" s="4" t="inlineStr">
        <is>
          <t>Status</t>
        </is>
      </c>
      <c r="F3" s="4" t="inlineStr">
        <is>
          <t>Date Done</t>
        </is>
      </c>
      <c r="G3" s="4" t="inlineStr">
        <is>
          <t>Notes</t>
        </is>
      </c>
    </row>
    <row r="4">
      <c r="A4" t="inlineStr">
        <is>
          <t>Phase 0</t>
        </is>
      </c>
      <c r="B4" t="inlineStr">
        <is>
          <t>Start small</t>
        </is>
      </c>
      <c r="C4" t="inlineStr">
        <is>
          <t>10–20 bags pilot</t>
        </is>
      </c>
      <c r="D4" t="inlineStr">
        <is>
          <t>Learn without big loss</t>
        </is>
      </c>
      <c r="E4" t="inlineStr">
        <is>
          <t>Pending</t>
        </is>
      </c>
      <c r="F4" t="inlineStr"/>
      <c r="G4" t="inlineStr"/>
    </row>
    <row r="5">
      <c r="A5" t="inlineStr">
        <is>
          <t>Phase 1</t>
        </is>
      </c>
      <c r="B5" t="inlineStr">
        <is>
          <t>Baseline</t>
        </is>
      </c>
      <c r="C5" t="inlineStr">
        <is>
          <t>Record all costs &amp; yields</t>
        </is>
      </c>
      <c r="D5" t="inlineStr">
        <is>
          <t>Know true cost/kg</t>
        </is>
      </c>
      <c r="E5" t="inlineStr">
        <is>
          <t>Pending</t>
        </is>
      </c>
      <c r="F5" t="inlineStr"/>
      <c r="G5" t="inlineStr"/>
    </row>
    <row r="6">
      <c r="A6" t="inlineStr">
        <is>
          <t>Phase 2</t>
        </is>
      </c>
      <c r="B6" t="inlineStr">
        <is>
          <t>Measure</t>
        </is>
      </c>
      <c r="C6" t="inlineStr">
        <is>
          <t>Track survival, yield, reject %</t>
        </is>
      </c>
      <c r="D6" t="inlineStr">
        <is>
          <t>KPIs in Dashboard</t>
        </is>
      </c>
      <c r="E6" t="inlineStr">
        <is>
          <t>Pending</t>
        </is>
      </c>
      <c r="F6" t="inlineStr"/>
      <c r="G6" t="inlineStr"/>
    </row>
    <row r="7">
      <c r="A7" t="inlineStr">
        <is>
          <t>Phase 3</t>
        </is>
      </c>
      <c r="B7" t="inlineStr">
        <is>
          <t>Improve</t>
        </is>
      </c>
      <c r="C7" t="inlineStr">
        <is>
          <t>Fix top 3 problems</t>
        </is>
      </c>
      <c r="D7" t="inlineStr">
        <is>
          <t>SOP updated</t>
        </is>
      </c>
      <c r="E7" t="inlineStr">
        <is>
          <t>Pending</t>
        </is>
      </c>
      <c r="F7" t="inlineStr"/>
      <c r="G7" t="inlineStr"/>
    </row>
    <row r="8">
      <c r="A8" t="inlineStr">
        <is>
          <t>Phase 4</t>
        </is>
      </c>
      <c r="B8" t="inlineStr">
        <is>
          <t>Repeat</t>
        </is>
      </c>
      <c r="C8" t="inlineStr">
        <is>
          <t>Run cycle 2 at 50 bags</t>
        </is>
      </c>
      <c r="D8" t="inlineStr">
        <is>
          <t>Compare to cycle 1</t>
        </is>
      </c>
      <c r="E8" t="inlineStr">
        <is>
          <t>Pending</t>
        </is>
      </c>
      <c r="F8" t="inlineStr"/>
      <c r="G8" t="inlineStr"/>
    </row>
    <row r="9">
      <c r="A9" t="inlineStr">
        <is>
          <t>Phase 5</t>
        </is>
      </c>
      <c r="B9" t="inlineStr">
        <is>
          <t>Prove profit</t>
        </is>
      </c>
      <c r="C9" t="inlineStr">
        <is>
          <t>Profit &gt; 0 for 2 cycles</t>
        </is>
      </c>
      <c r="D9" t="inlineStr">
        <is>
          <t>RM/plant documented</t>
        </is>
      </c>
      <c r="E9" t="inlineStr">
        <is>
          <t>Pending</t>
        </is>
      </c>
      <c r="F9" t="inlineStr"/>
      <c r="G9" t="inlineStr"/>
    </row>
    <row r="10">
      <c r="A10" t="inlineStr">
        <is>
          <t>Phase 6</t>
        </is>
      </c>
      <c r="B10" t="inlineStr">
        <is>
          <t>SOP</t>
        </is>
      </c>
      <c r="C10" t="inlineStr">
        <is>
          <t>Write 1-page SOP per task</t>
        </is>
      </c>
      <c r="D10" t="inlineStr">
        <is>
          <t>Train helper</t>
        </is>
      </c>
      <c r="E10" t="inlineStr">
        <is>
          <t>Pending</t>
        </is>
      </c>
      <c r="F10" t="inlineStr"/>
      <c r="G10" t="inlineStr"/>
    </row>
    <row r="11">
      <c r="A11" t="inlineStr">
        <is>
          <t>Phase 7</t>
        </is>
      </c>
      <c r="B11" t="inlineStr">
        <is>
          <t>Expand</t>
        </is>
      </c>
      <c r="C11" t="inlineStr">
        <is>
          <t>100 → 200 bags</t>
        </is>
      </c>
      <c r="D11" t="inlineStr">
        <is>
          <t>Only if survival &gt;90%</t>
        </is>
      </c>
      <c r="E11" t="inlineStr">
        <is>
          <t>Pending</t>
        </is>
      </c>
      <c r="F11" t="inlineStr"/>
      <c r="G11" t="inlineStr"/>
    </row>
    <row r="12">
      <c r="A12" t="inlineStr">
        <is>
          <t>Phase 8</t>
        </is>
      </c>
      <c r="B12" t="inlineStr">
        <is>
          <t>Replicate</t>
        </is>
      </c>
      <c r="C12" t="inlineStr">
        <is>
          <t>Second site or partner farm</t>
        </is>
      </c>
      <c r="D12" t="inlineStr">
        <is>
          <t>Same SOP, same results</t>
        </is>
      </c>
      <c r="E12" t="inlineStr">
        <is>
          <t>Pending</t>
        </is>
      </c>
      <c r="F12" t="inlineStr"/>
      <c r="G12" t="inlineStr"/>
    </row>
  </sheetData>
  <dataValidations count="1">
    <dataValidation sqref="E4:E12" showDropDown="0" showInputMessage="0" showErrorMessage="0" allowBlank="1" error="Choose: Pending, Done, Skip, N/A, Issue" type="list">
      <formula1>"Pending,Done,Skip,N/A,Issue"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2" customWidth="1" min="4" max="4"/>
    <col width="35" customWidth="1" min="5" max="5"/>
    <col width="18" customWidth="1" min="6" max="6"/>
  </cols>
  <sheetData>
    <row r="1">
      <c r="A1" s="2" t="inlineStr">
        <is>
          <t>9-DOMAIN MASTER INDEX — Every goal mapped to sheet &amp; action</t>
        </is>
      </c>
    </row>
    <row r="3">
      <c r="A3" s="4" t="inlineStr">
        <is>
          <t>Domain</t>
        </is>
      </c>
      <c r="B3" s="4" t="inlineStr">
        <is>
          <t>Goal / Topic</t>
        </is>
      </c>
      <c r="C3" s="4" t="inlineStr">
        <is>
          <t>Sheet</t>
        </is>
      </c>
      <c r="D3" s="4" t="inlineStr">
        <is>
          <t>Frequency</t>
        </is>
      </c>
      <c r="E3" s="4" t="inlineStr">
        <is>
          <t>Key Target (Kulai polybag)</t>
        </is>
      </c>
      <c r="F3" s="4" t="inlineStr">
        <is>
          <t>Linked KPI</t>
        </is>
      </c>
    </row>
    <row r="4">
      <c r="A4" s="19" t="inlineStr">
        <is>
          <t>1. Production</t>
        </is>
      </c>
      <c r="B4" s="15" t="inlineStr">
        <is>
          <t>Variety</t>
        </is>
      </c>
      <c r="C4" s="15" t="inlineStr">
        <is>
          <t>05_PRODUCTION</t>
        </is>
      </c>
      <c r="D4" s="15" t="inlineStr">
        <is>
          <t>Per cycle</t>
        </is>
      </c>
      <c r="E4" s="15" t="inlineStr">
        <is>
          <t>Kulai / hybrid — label all lots</t>
        </is>
      </c>
      <c r="F4" s="15" t="inlineStr">
        <is>
          <t>Germ %</t>
        </is>
      </c>
    </row>
    <row r="5">
      <c r="A5" s="19" t="inlineStr">
        <is>
          <t>1. Production</t>
        </is>
      </c>
      <c r="B5" s="15" t="inlineStr">
        <is>
          <t>Plant density</t>
        </is>
      </c>
      <c r="C5" s="15" t="inlineStr">
        <is>
          <t>05_PRODUCTION</t>
        </is>
      </c>
      <c r="D5" s="15" t="inlineStr">
        <is>
          <t>Transplant</t>
        </is>
      </c>
      <c r="E5" s="15" t="inlineStr">
        <is>
          <t>1 plant / 7 L bag, 45–60 cm spacing</t>
        </is>
      </c>
      <c r="F5" s="15" t="inlineStr">
        <is>
          <t>Survival %</t>
        </is>
      </c>
    </row>
    <row r="6">
      <c r="A6" s="19" t="inlineStr">
        <is>
          <t>1. Production</t>
        </is>
      </c>
      <c r="B6" s="15" t="inlineStr">
        <is>
          <t>Nursery</t>
        </is>
      </c>
      <c r="C6" s="15" t="inlineStr">
        <is>
          <t>04_CYCLE + 05</t>
        </is>
      </c>
      <c r="D6" s="15" t="inlineStr">
        <is>
          <t>Week 0–6</t>
        </is>
      </c>
      <c r="E6" s="15" t="inlineStr">
        <is>
          <t>4–6 true leaves before transplant</t>
        </is>
      </c>
      <c r="F6" s="15" t="inlineStr">
        <is>
          <t>Germ &gt;70%</t>
        </is>
      </c>
    </row>
    <row r="7">
      <c r="A7" s="19" t="inlineStr">
        <is>
          <t>1. Production</t>
        </is>
      </c>
      <c r="B7" s="15" t="inlineStr">
        <is>
          <t>Transplanting</t>
        </is>
      </c>
      <c r="C7" s="15" t="inlineStr">
        <is>
          <t>04_CYCLE</t>
        </is>
      </c>
      <c r="D7" s="15" t="inlineStr">
        <is>
          <t>Week 6</t>
        </is>
      </c>
      <c r="E7" s="15" t="inlineStr">
        <is>
          <t>Late PM, shade 5–7 days</t>
        </is>
      </c>
      <c r="F7" s="15" t="inlineStr">
        <is>
          <t>Survival &gt;90%</t>
        </is>
      </c>
    </row>
    <row r="8">
      <c r="A8" s="19" t="inlineStr">
        <is>
          <t>1. Production</t>
        </is>
      </c>
      <c r="B8" s="15" t="inlineStr">
        <is>
          <t>Growth</t>
        </is>
      </c>
      <c r="C8" s="15" t="inlineStr">
        <is>
          <t>02_DAILY + 05</t>
        </is>
      </c>
      <c r="D8" s="15" t="inlineStr">
        <is>
          <t>Daily/weekly</t>
        </is>
      </c>
      <c r="E8" s="15" t="inlineStr">
        <is>
          <t>Stake by week 4–5 post-transplant</t>
        </is>
      </c>
      <c r="F8" s="15" t="inlineStr">
        <is>
          <t>Height 70–80 cm</t>
        </is>
      </c>
    </row>
    <row r="9">
      <c r="A9" s="19" t="inlineStr">
        <is>
          <t>1. Production</t>
        </is>
      </c>
      <c r="B9" s="15" t="inlineStr">
        <is>
          <t>Flowering</t>
        </is>
      </c>
      <c r="C9" s="15" t="inlineStr">
        <is>
          <t>05_PRODUCTION</t>
        </is>
      </c>
      <c r="D9" s="15" t="inlineStr">
        <is>
          <t>Week 8–10</t>
        </is>
      </c>
      <c r="E9" s="15" t="inlineStr">
        <is>
          <t>Log first flower date</t>
        </is>
      </c>
      <c r="F9" s="15" t="inlineStr">
        <is>
          <t>Flower drop &lt;30%</t>
        </is>
      </c>
    </row>
    <row r="10">
      <c r="A10" s="19" t="inlineStr">
        <is>
          <t>1. Production</t>
        </is>
      </c>
      <c r="B10" s="15" t="inlineStr">
        <is>
          <t>Fruit set</t>
        </is>
      </c>
      <c r="C10" s="15" t="inlineStr">
        <is>
          <t>05_PRODUCTION</t>
        </is>
      </c>
      <c r="D10" s="15" t="inlineStr">
        <is>
          <t>Weekly</t>
        </is>
      </c>
      <c r="E10" s="15" t="inlineStr">
        <is>
          <t>Monitor small fruit count</t>
        </is>
      </c>
      <c r="F10" s="15" t="inlineStr">
        <is>
          <t>Fruit/plant</t>
        </is>
      </c>
    </row>
    <row r="11">
      <c r="A11" s="19" t="inlineStr">
        <is>
          <t>1. Production</t>
        </is>
      </c>
      <c r="B11" s="15" t="inlineStr">
        <is>
          <t>Yield</t>
        </is>
      </c>
      <c r="C11" s="15" t="inlineStr">
        <is>
          <t>09_HARVEST</t>
        </is>
      </c>
      <c r="D11" s="15" t="inlineStr">
        <is>
          <t>Per pick</t>
        </is>
      </c>
      <c r="E11" s="15" t="inlineStr">
        <is>
          <t>Track cumulative kg</t>
        </is>
      </c>
      <c r="F11" s="15" t="inlineStr">
        <is>
          <t>0.8–1.5 kg/plant</t>
        </is>
      </c>
    </row>
    <row r="12">
      <c r="A12" s="19" t="inlineStr">
        <is>
          <t>1. Production</t>
        </is>
      </c>
      <c r="B12" s="15" t="inlineStr">
        <is>
          <t>Saleable yield</t>
        </is>
      </c>
      <c r="C12" s="15" t="inlineStr">
        <is>
          <t>09_HARVEST</t>
        </is>
      </c>
      <c r="D12" s="15" t="inlineStr">
        <is>
          <t>Per pick</t>
        </is>
      </c>
      <c r="E12" s="15" t="inlineStr">
        <is>
          <t>Total − rejects</t>
        </is>
      </c>
      <c r="F12" s="15" t="inlineStr">
        <is>
          <t>&gt;90% saleable</t>
        </is>
      </c>
    </row>
    <row r="13">
      <c r="A13" s="23" t="inlineStr">
        <is>
          <t>2. Financials</t>
        </is>
      </c>
      <c r="B13" s="15" t="inlineStr">
        <is>
          <t>CAPEX</t>
        </is>
      </c>
      <c r="C13" s="15" t="inlineStr">
        <is>
          <t>06_FINANCIALS</t>
        </is>
      </c>
      <c r="D13" s="15" t="inlineStr">
        <is>
          <t>Per cycle</t>
        </is>
      </c>
      <c r="E13" s="15" t="inlineStr">
        <is>
          <t>Equipment, infrastructure</t>
        </is>
      </c>
      <c r="F13" s="15" t="inlineStr">
        <is>
          <t>Total CAPEX</t>
        </is>
      </c>
    </row>
    <row r="14">
      <c r="A14" s="23" t="inlineStr">
        <is>
          <t>2. Financials</t>
        </is>
      </c>
      <c r="B14" s="15" t="inlineStr">
        <is>
          <t>OPEX</t>
        </is>
      </c>
      <c r="C14" s="15" t="inlineStr">
        <is>
          <t>06_FINANCIALS</t>
        </is>
      </c>
      <c r="D14" s="15" t="inlineStr">
        <is>
          <t>Ongoing</t>
        </is>
      </c>
      <c r="E14" s="15" t="inlineStr">
        <is>
          <t>Seeds, media, feed, labour</t>
        </is>
      </c>
      <c r="F14" s="15" t="inlineStr">
        <is>
          <t>Total OPEX</t>
        </is>
      </c>
    </row>
    <row r="15">
      <c r="A15" s="23" t="inlineStr">
        <is>
          <t>2. Financials</t>
        </is>
      </c>
      <c r="B15" s="15" t="inlineStr">
        <is>
          <t>Cost/plant</t>
        </is>
      </c>
      <c r="C15" s="15" t="inlineStr">
        <is>
          <t>01_DASHBOARD</t>
        </is>
      </c>
      <c r="D15" s="15" t="inlineStr">
        <is>
          <t>End cycle</t>
        </is>
      </c>
      <c r="E15" s="15" t="inlineStr">
        <is>
          <t>Total cost ÷ live plants</t>
        </is>
      </c>
      <c r="F15" s="15" t="inlineStr">
        <is>
          <t>RM/plant</t>
        </is>
      </c>
    </row>
    <row r="16">
      <c r="A16" s="23" t="inlineStr">
        <is>
          <t>2. Financials</t>
        </is>
      </c>
      <c r="B16" s="15" t="inlineStr">
        <is>
          <t>Cost/kg</t>
        </is>
      </c>
      <c r="C16" s="15" t="inlineStr">
        <is>
          <t>01_DASHBOARD</t>
        </is>
      </c>
      <c r="D16" s="15" t="inlineStr">
        <is>
          <t>End cycle</t>
        </is>
      </c>
      <c r="E16" s="15" t="inlineStr">
        <is>
          <t>Total cost ÷ saleable kg</t>
        </is>
      </c>
      <c r="F16" s="15" t="inlineStr">
        <is>
          <t>&lt;RM 8/kg target</t>
        </is>
      </c>
    </row>
    <row r="17">
      <c r="A17" s="23" t="inlineStr">
        <is>
          <t>2. Financials</t>
        </is>
      </c>
      <c r="B17" s="15" t="inlineStr">
        <is>
          <t>Break-even</t>
        </is>
      </c>
      <c r="C17" s="15" t="inlineStr">
        <is>
          <t>01_DASHBOARD</t>
        </is>
      </c>
      <c r="D17" s="15" t="inlineStr">
        <is>
          <t>Monthly</t>
        </is>
      </c>
      <c r="E17" s="15" t="inlineStr">
        <is>
          <t>Cost ÷ price per kg</t>
        </is>
      </c>
      <c r="F17" s="15" t="inlineStr">
        <is>
          <t>Break-even kg</t>
        </is>
      </c>
    </row>
    <row r="18">
      <c r="A18" s="23" t="inlineStr">
        <is>
          <t>2. Financials</t>
        </is>
      </c>
      <c r="B18" s="15" t="inlineStr">
        <is>
          <t>Revenue</t>
        </is>
      </c>
      <c r="C18" s="15" t="inlineStr">
        <is>
          <t>10_MARKET_SALES</t>
        </is>
      </c>
      <c r="D18" s="15" t="inlineStr">
        <is>
          <t>Per sale</t>
        </is>
      </c>
      <c r="E18" s="15" t="inlineStr">
        <is>
          <t>Σ qty × price</t>
        </is>
      </c>
      <c r="F18" s="15" t="inlineStr">
        <is>
          <t>Total revenue</t>
        </is>
      </c>
    </row>
    <row r="19">
      <c r="A19" s="23" t="inlineStr">
        <is>
          <t>2. Financials</t>
        </is>
      </c>
      <c r="B19" s="15" t="inlineStr">
        <is>
          <t>Profit</t>
        </is>
      </c>
      <c r="C19" s="15" t="inlineStr">
        <is>
          <t>01_DASHBOARD</t>
        </is>
      </c>
      <c r="D19" s="15" t="inlineStr">
        <is>
          <t>End cycle</t>
        </is>
      </c>
      <c r="E19" s="15" t="inlineStr">
        <is>
          <t>Revenue − costs</t>
        </is>
      </c>
      <c r="F19" s="15" t="inlineStr">
        <is>
          <t>&gt;0</t>
        </is>
      </c>
    </row>
    <row r="20">
      <c r="A20" s="23" t="inlineStr">
        <is>
          <t>2. Financials</t>
        </is>
      </c>
      <c r="B20" s="15" t="inlineStr">
        <is>
          <t>ROI</t>
        </is>
      </c>
      <c r="C20" s="15" t="inlineStr">
        <is>
          <t>01_DASHBOARD</t>
        </is>
      </c>
      <c r="D20" s="15" t="inlineStr">
        <is>
          <t>End cycle</t>
        </is>
      </c>
      <c r="E20" s="15" t="inlineStr">
        <is>
          <t>Profit ÷ investment</t>
        </is>
      </c>
      <c r="F20" s="15" t="inlineStr">
        <is>
          <t>% ROI</t>
        </is>
      </c>
    </row>
    <row r="21">
      <c r="A21" s="23" t="inlineStr">
        <is>
          <t>2. Financials</t>
        </is>
      </c>
      <c r="B21" s="15" t="inlineStr">
        <is>
          <t>Cash flow</t>
        </is>
      </c>
      <c r="C21" s="15" t="inlineStr">
        <is>
          <t>06 + 10</t>
        </is>
      </c>
      <c r="D21" s="15" t="inlineStr">
        <is>
          <t>Daily/weekly</t>
        </is>
      </c>
      <c r="E21" s="15" t="inlineStr">
        <is>
          <t>Money in vs out</t>
        </is>
      </c>
      <c r="F21" s="15" t="inlineStr">
        <is>
          <t>No negative weeks</t>
        </is>
      </c>
    </row>
    <row r="22">
      <c r="A22" s="16" t="inlineStr">
        <is>
          <t>3. Farm Management</t>
        </is>
      </c>
      <c r="B22" s="15" t="inlineStr">
        <is>
          <t>SOP</t>
        </is>
      </c>
      <c r="C22" s="15" t="inlineStr">
        <is>
          <t>04_CYCLE + 11</t>
        </is>
      </c>
      <c r="D22" s="15" t="inlineStr">
        <is>
          <t>Per cycle</t>
        </is>
      </c>
      <c r="E22" s="15" t="inlineStr">
        <is>
          <t>Written procedures</t>
        </is>
      </c>
      <c r="F22" s="15" t="inlineStr">
        <is>
          <t>SOP version #</t>
        </is>
      </c>
    </row>
    <row r="23">
      <c r="A23" s="16" t="inlineStr">
        <is>
          <t>3. Farm Management</t>
        </is>
      </c>
      <c r="B23" s="15" t="inlineStr">
        <is>
          <t>Daily checklist</t>
        </is>
      </c>
      <c r="C23" s="15" t="inlineStr">
        <is>
          <t>02_DAILY</t>
        </is>
      </c>
      <c r="D23" s="15" t="inlineStr">
        <is>
          <t>Daily</t>
        </is>
      </c>
      <c r="E23" s="15" t="inlineStr">
        <is>
          <t>15-min walk + log</t>
        </is>
      </c>
      <c r="F23" s="15" t="inlineStr">
        <is>
          <t>All Done</t>
        </is>
      </c>
    </row>
    <row r="24">
      <c r="A24" s="16" t="inlineStr">
        <is>
          <t>3. Farm Management</t>
        </is>
      </c>
      <c r="B24" s="15" t="inlineStr">
        <is>
          <t>Irrigation</t>
        </is>
      </c>
      <c r="C24" s="15" t="inlineStr">
        <is>
          <t>02_DAILY + 07</t>
        </is>
      </c>
      <c r="D24" s="15" t="inlineStr">
        <is>
          <t>Daily</t>
        </is>
      </c>
      <c r="E24" s="15" t="inlineStr">
        <is>
          <t>Finger test 3 cm</t>
        </is>
      </c>
      <c r="F24" s="15" t="inlineStr">
        <is>
          <t>No waterlog</t>
        </is>
      </c>
    </row>
    <row r="25">
      <c r="A25" s="16" t="inlineStr">
        <is>
          <t>3. Farm Management</t>
        </is>
      </c>
      <c r="B25" s="15" t="inlineStr">
        <is>
          <t>Fertilizer</t>
        </is>
      </c>
      <c r="C25" s="15" t="inlineStr">
        <is>
          <t>03_WEEKLY + 07</t>
        </is>
      </c>
      <c r="D25" s="15" t="inlineStr">
        <is>
          <t>Weekly</t>
        </is>
      </c>
      <c r="E25" s="15" t="inlineStr">
        <is>
          <t>Side-dress or fertigation</t>
        </is>
      </c>
      <c r="F25" s="15" t="inlineStr">
        <is>
          <t>EC 1.2–2.5</t>
        </is>
      </c>
    </row>
    <row r="26">
      <c r="A26" s="16" t="inlineStr">
        <is>
          <t>3. Farm Management</t>
        </is>
      </c>
      <c r="B26" s="15" t="inlineStr">
        <is>
          <t>Pest inspection</t>
        </is>
      </c>
      <c r="C26" s="15" t="inlineStr">
        <is>
          <t>02_DAILY + 08</t>
        </is>
      </c>
      <c r="D26" s="15" t="inlineStr">
        <is>
          <t>Daily</t>
        </is>
      </c>
      <c r="E26" s="15" t="inlineStr">
        <is>
          <t>Leaf undersides</t>
        </is>
      </c>
      <c r="F26" s="15" t="inlineStr">
        <is>
          <t>&lt;5% affected</t>
        </is>
      </c>
    </row>
    <row r="27">
      <c r="A27" s="16" t="inlineStr">
        <is>
          <t>3. Farm Management</t>
        </is>
      </c>
      <c r="B27" s="15" t="inlineStr">
        <is>
          <t>Disease inspection</t>
        </is>
      </c>
      <c r="C27" s="15" t="inlineStr">
        <is>
          <t>02_DAILY + 08</t>
        </is>
      </c>
      <c r="D27" s="15" t="inlineStr">
        <is>
          <t>Daily</t>
        </is>
      </c>
      <c r="E27" s="15" t="inlineStr">
        <is>
          <t>Wilting, mosaic, spots</t>
        </is>
      </c>
      <c r="F27" s="15" t="inlineStr">
        <is>
          <t>Remove suspects</t>
        </is>
      </c>
    </row>
    <row r="28">
      <c r="A28" s="16" t="inlineStr">
        <is>
          <t>3. Farm Management</t>
        </is>
      </c>
      <c r="B28" s="15" t="inlineStr">
        <is>
          <t>Harvest</t>
        </is>
      </c>
      <c r="C28" s="15" t="inlineStr">
        <is>
          <t>02_DAILY + 09</t>
        </is>
      </c>
      <c r="D28" s="15" t="inlineStr">
        <is>
          <t>Daily peak</t>
        </is>
      </c>
      <c r="E28" s="15" t="inlineStr">
        <is>
          <t>Pick every 1–2 days</t>
        </is>
      </c>
      <c r="F28" s="15" t="inlineStr">
        <is>
          <t>Kg logged</t>
        </is>
      </c>
    </row>
    <row r="29">
      <c r="A29" s="16" t="inlineStr">
        <is>
          <t>3. Farm Management</t>
        </is>
      </c>
      <c r="B29" s="15" t="inlineStr">
        <is>
          <t>Maintenance</t>
        </is>
      </c>
      <c r="C29" s="15" t="inlineStr">
        <is>
          <t>02_DAILY</t>
        </is>
      </c>
      <c r="D29" s="15" t="inlineStr">
        <is>
          <t>Daily</t>
        </is>
      </c>
      <c r="E29" s="15" t="inlineStr">
        <is>
          <t>Stakes, drippers, net</t>
        </is>
      </c>
      <c r="F29" s="15" t="inlineStr">
        <is>
          <t>No failures</t>
        </is>
      </c>
    </row>
    <row r="30">
      <c r="A30" s="16" t="inlineStr">
        <is>
          <t>3. Farm Management</t>
        </is>
      </c>
      <c r="B30" s="15" t="inlineStr">
        <is>
          <t>Records</t>
        </is>
      </c>
      <c r="C30" s="15" t="inlineStr">
        <is>
          <t>All logs</t>
        </is>
      </c>
      <c r="D30" s="15" t="inlineStr">
        <is>
          <t>Daily</t>
        </is>
      </c>
      <c r="E30" s="15" t="inlineStr">
        <is>
          <t>Same-day entry</t>
        </is>
      </c>
      <c r="F30" s="15" t="inlineStr">
        <is>
          <t>100% logged</t>
        </is>
      </c>
    </row>
    <row r="31">
      <c r="A31" s="17" t="inlineStr">
        <is>
          <t>4. Water &amp; Fertilizer</t>
        </is>
      </c>
      <c r="B31" s="15" t="inlineStr">
        <is>
          <t>Water quality</t>
        </is>
      </c>
      <c r="C31" s="15" t="inlineStr">
        <is>
          <t>07</t>
        </is>
      </c>
      <c r="D31" s="15" t="inlineStr">
        <is>
          <t>Per cycle</t>
        </is>
      </c>
      <c r="E31" s="15" t="inlineStr">
        <is>
          <t>Clean source</t>
        </is>
      </c>
      <c r="F31" s="15" t="inlineStr">
        <is>
          <t>No salinity issues</t>
        </is>
      </c>
    </row>
    <row r="32">
      <c r="A32" s="17" t="inlineStr">
        <is>
          <t>4. Water &amp; Fertilizer</t>
        </is>
      </c>
      <c r="B32" s="15" t="inlineStr">
        <is>
          <t>Irrigation</t>
        </is>
      </c>
      <c r="C32" s="15" t="inlineStr">
        <is>
          <t>07</t>
        </is>
      </c>
      <c r="D32" s="15" t="inlineStr">
        <is>
          <t>Daily</t>
        </is>
      </c>
      <c r="E32" s="15" t="inlineStr">
        <is>
          <t>Hand or drip</t>
        </is>
      </c>
      <c r="F32" s="15" t="inlineStr">
        <is>
          <t>Method logged</t>
        </is>
      </c>
    </row>
    <row r="33">
      <c r="A33" s="17" t="inlineStr">
        <is>
          <t>4. Water &amp; Fertilizer</t>
        </is>
      </c>
      <c r="B33" s="15" t="inlineStr">
        <is>
          <t>Frequency</t>
        </is>
      </c>
      <c r="C33" s="15" t="inlineStr">
        <is>
          <t>07</t>
        </is>
      </c>
      <c r="D33" s="15" t="inlineStr">
        <is>
          <t>Daily</t>
        </is>
      </c>
      <c r="E33" s="15" t="inlineStr">
        <is>
          <t>1–6× by stage</t>
        </is>
      </c>
      <c r="F33" s="15" t="inlineStr">
        <is>
          <t>Per schedule</t>
        </is>
      </c>
    </row>
    <row r="34">
      <c r="A34" s="17" t="inlineStr">
        <is>
          <t>4. Water &amp; Fertilizer</t>
        </is>
      </c>
      <c r="B34" s="15" t="inlineStr">
        <is>
          <t>Volume</t>
        </is>
      </c>
      <c r="C34" s="15" t="inlineStr">
        <is>
          <t>07</t>
        </is>
      </c>
      <c r="D34" s="15" t="inlineStr">
        <is>
          <t>Daily</t>
        </is>
      </c>
      <c r="E34" s="15" t="inlineStr">
        <is>
          <t>500 ml–3.5 L/bag/day</t>
        </is>
      </c>
      <c r="F34" s="15" t="inlineStr">
        <is>
          <t>ml logged</t>
        </is>
      </c>
    </row>
    <row r="35">
      <c r="A35" s="17" t="inlineStr">
        <is>
          <t>4. Water &amp; Fertilizer</t>
        </is>
      </c>
      <c r="B35" s="15" t="inlineStr">
        <is>
          <t>Fertilizer</t>
        </is>
      </c>
      <c r="C35" s="15" t="inlineStr">
        <is>
          <t>07 + 03</t>
        </is>
      </c>
      <c r="D35" s="15" t="inlineStr">
        <is>
          <t>Weekly</t>
        </is>
      </c>
      <c r="E35" s="15" t="inlineStr">
        <is>
          <t>NPK 12:12:17 + compost</t>
        </is>
      </c>
      <c r="F35" s="15" t="inlineStr">
        <is>
          <t>g or EC logged</t>
        </is>
      </c>
    </row>
    <row r="36">
      <c r="A36" s="17" t="inlineStr">
        <is>
          <t>4. Water &amp; Fertilizer</t>
        </is>
      </c>
      <c r="B36" s="15" t="inlineStr">
        <is>
          <t>Concentration</t>
        </is>
      </c>
      <c r="C36" s="15" t="inlineStr">
        <is>
          <t>07</t>
        </is>
      </c>
      <c r="D36" s="15" t="inlineStr">
        <is>
          <t>Daily if fertigating</t>
        </is>
      </c>
      <c r="E36" s="15" t="inlineStr">
        <is>
          <t>EC ramp 1.2→2.5</t>
        </is>
      </c>
      <c r="F36" s="15" t="inlineStr">
        <is>
          <t>EC reading</t>
        </is>
      </c>
    </row>
    <row r="37">
      <c r="A37" s="17" t="inlineStr">
        <is>
          <t>4. Water &amp; Fertilizer</t>
        </is>
      </c>
      <c r="B37" s="15" t="inlineStr">
        <is>
          <t>pH</t>
        </is>
      </c>
      <c r="C37" s="15" t="inlineStr">
        <is>
          <t>07</t>
        </is>
      </c>
      <c r="D37" s="15" t="inlineStr">
        <is>
          <t>Weekly</t>
        </is>
      </c>
      <c r="E37" s="15" t="inlineStr">
        <is>
          <t>5.5–6.5</t>
        </is>
      </c>
      <c r="F37" s="15" t="inlineStr">
        <is>
          <t>pH reading</t>
        </is>
      </c>
    </row>
    <row r="38">
      <c r="A38" s="17" t="inlineStr">
        <is>
          <t>4. Water &amp; Fertilizer</t>
        </is>
      </c>
      <c r="B38" s="15" t="inlineStr">
        <is>
          <t>EC</t>
        </is>
      </c>
      <c r="C38" s="15" t="inlineStr">
        <is>
          <t>07</t>
        </is>
      </c>
      <c r="D38" s="15" t="inlineStr">
        <is>
          <t>Daily/weekly</t>
        </is>
      </c>
      <c r="E38" s="15" t="inlineStr">
        <is>
          <t>Feed + leachate EC</t>
        </is>
      </c>
      <c r="F38" s="15" t="inlineStr">
        <is>
          <t>EC reading</t>
        </is>
      </c>
    </row>
    <row r="39">
      <c r="A39" s="17" t="inlineStr">
        <is>
          <t>4. Water &amp; Fertilizer</t>
        </is>
      </c>
      <c r="B39" s="15" t="inlineStr">
        <is>
          <t>Experiments</t>
        </is>
      </c>
      <c r="C39" s="15" t="inlineStr">
        <is>
          <t>05 + 07</t>
        </is>
      </c>
      <c r="D39" s="15" t="inlineStr">
        <is>
          <t>Per trial</t>
        </is>
      </c>
      <c r="E39" s="15" t="inlineStr">
        <is>
          <t>Soak test, bag size, etc.</t>
        </is>
      </c>
      <c r="F39" s="15" t="inlineStr">
        <is>
          <t>Tagged rows</t>
        </is>
      </c>
    </row>
    <row r="40">
      <c r="A40" s="18" t="inlineStr">
        <is>
          <t>5. Pest &amp; Disease</t>
        </is>
      </c>
      <c r="B40" s="15" t="inlineStr">
        <is>
          <t>Prevention</t>
        </is>
      </c>
      <c r="C40" s="15" t="inlineStr">
        <is>
          <t>03_WEEKLY</t>
        </is>
      </c>
      <c r="D40" s="15" t="inlineStr">
        <is>
          <t>Weekly</t>
        </is>
      </c>
      <c r="E40" s="15" t="inlineStr">
        <is>
          <t>Net, sanitation, traps</t>
        </is>
      </c>
      <c r="F40" s="15" t="inlineStr">
        <is>
          <t>Trap count</t>
        </is>
      </c>
    </row>
    <row r="41">
      <c r="A41" s="18" t="inlineStr">
        <is>
          <t>5. Pest &amp; Disease</t>
        </is>
      </c>
      <c r="B41" s="15" t="inlineStr">
        <is>
          <t>Identification</t>
        </is>
      </c>
      <c r="C41" s="15" t="inlineStr">
        <is>
          <t>08</t>
        </is>
      </c>
      <c r="D41" s="15" t="inlineStr">
        <is>
          <t>As found</t>
        </is>
      </c>
      <c r="E41" s="15" t="inlineStr">
        <is>
          <t>Name the pest/disease</t>
        </is>
      </c>
      <c r="F41" s="15" t="inlineStr">
        <is>
          <t>Named in log</t>
        </is>
      </c>
    </row>
    <row r="42">
      <c r="A42" s="18" t="inlineStr">
        <is>
          <t>5. Pest &amp; Disease</t>
        </is>
      </c>
      <c r="B42" s="15" t="inlineStr">
        <is>
          <t>Scouting</t>
        </is>
      </c>
      <c r="C42" s="15" t="inlineStr">
        <is>
          <t>02_DAILY</t>
        </is>
      </c>
      <c r="D42" s="15" t="inlineStr">
        <is>
          <t>Daily</t>
        </is>
      </c>
      <c r="E42" s="15" t="inlineStr">
        <is>
          <t>Systematic walk</t>
        </is>
      </c>
      <c r="F42" s="15" t="inlineStr">
        <is>
          <t>% affected</t>
        </is>
      </c>
    </row>
    <row r="43">
      <c r="A43" s="18" t="inlineStr">
        <is>
          <t>5. Pest &amp; Disease</t>
        </is>
      </c>
      <c r="B43" s="15" t="inlineStr">
        <is>
          <t>Detection</t>
        </is>
      </c>
      <c r="C43" s="15" t="inlineStr">
        <is>
          <t>02_DAILY</t>
        </is>
      </c>
      <c r="D43" s="15" t="inlineStr">
        <is>
          <t>Daily</t>
        </is>
      </c>
      <c r="E43" s="15" t="inlineStr">
        <is>
          <t>Early signs</t>
        </is>
      </c>
      <c r="F43" s="15" t="inlineStr">
        <is>
          <t>Logged same day</t>
        </is>
      </c>
    </row>
    <row r="44">
      <c r="A44" s="18" t="inlineStr">
        <is>
          <t>5. Pest &amp; Disease</t>
        </is>
      </c>
      <c r="B44" s="15" t="inlineStr">
        <is>
          <t>Treatment</t>
        </is>
      </c>
      <c r="C44" s="15" t="inlineStr">
        <is>
          <t>08</t>
        </is>
      </c>
      <c r="D44" s="15" t="inlineStr">
        <is>
          <t>As needed</t>
        </is>
      </c>
      <c r="E44" s="15" t="inlineStr">
        <is>
          <t>IPM first; label TDMH</t>
        </is>
      </c>
      <c r="F44" s="15" t="inlineStr">
        <is>
          <t>Outcome logged</t>
        </is>
      </c>
    </row>
    <row r="45">
      <c r="A45" s="18" t="inlineStr">
        <is>
          <t>5. Pest &amp; Disease</t>
        </is>
      </c>
      <c r="B45" s="15" t="inlineStr">
        <is>
          <t>Sanitation</t>
        </is>
      </c>
      <c r="C45" s="15" t="inlineStr">
        <is>
          <t>03_WEEKLY</t>
        </is>
      </c>
      <c r="D45" s="15" t="inlineStr">
        <is>
          <t>Weekly</t>
        </is>
      </c>
      <c r="E45" s="15" t="inlineStr">
        <is>
          <t>Remove debris, weeds</t>
        </is>
      </c>
      <c r="F45" s="15" t="inlineStr">
        <is>
          <t>Done checkbox</t>
        </is>
      </c>
    </row>
    <row r="46">
      <c r="A46" s="18" t="inlineStr">
        <is>
          <t>5. Pest &amp; Disease</t>
        </is>
      </c>
      <c r="B46" s="15" t="inlineStr">
        <is>
          <t>Monitoring</t>
        </is>
      </c>
      <c r="C46" s="15" t="inlineStr">
        <is>
          <t>03_WEEKLY</t>
        </is>
      </c>
      <c r="D46" s="15" t="inlineStr">
        <is>
          <t>Weekly</t>
        </is>
      </c>
      <c r="E46" s="15" t="inlineStr">
        <is>
          <t>Trend % affected</t>
        </is>
      </c>
      <c r="F46" s="15" t="inlineStr">
        <is>
          <t>&lt;5%</t>
        </is>
      </c>
    </row>
    <row r="47">
      <c r="A47" s="18" t="inlineStr">
        <is>
          <t>5. Pest &amp; Disease</t>
        </is>
      </c>
      <c r="B47" s="15" t="inlineStr">
        <is>
          <t>Loss reduction</t>
        </is>
      </c>
      <c r="C47" s="15" t="inlineStr">
        <is>
          <t>08 + 09</t>
        </is>
      </c>
      <c r="D47" s="15" t="inlineStr">
        <is>
          <t>Weekly</t>
        </is>
      </c>
      <c r="E47" s="15" t="inlineStr">
        <is>
          <t>Kg/plants lost</t>
        </is>
      </c>
      <c r="F47" s="15" t="inlineStr">
        <is>
          <t>&lt;5% loss</t>
        </is>
      </c>
    </row>
    <row r="48">
      <c r="A48" s="18" t="inlineStr">
        <is>
          <t>5. Pest &amp; Disease</t>
        </is>
      </c>
      <c r="B48" s="15" t="inlineStr">
        <is>
          <t>SOP</t>
        </is>
      </c>
      <c r="C48" s="15" t="inlineStr">
        <is>
          <t>08</t>
        </is>
      </c>
      <c r="D48" s="15" t="inlineStr">
        <is>
          <t>Per incident</t>
        </is>
      </c>
      <c r="E48" s="15" t="inlineStr">
        <is>
          <t>Follow treatment SOP</t>
        </is>
      </c>
      <c r="F48" s="15" t="inlineStr">
        <is>
          <t>SOP ref column</t>
        </is>
      </c>
    </row>
    <row r="49">
      <c r="A49" s="18" t="inlineStr">
        <is>
          <t>5. Pest &amp; Disease</t>
        </is>
      </c>
      <c r="B49" s="15" t="inlineStr">
        <is>
          <t>Recovery</t>
        </is>
      </c>
      <c r="C49" s="15" t="inlineStr">
        <is>
          <t>04_CYCLE</t>
        </is>
      </c>
      <c r="D49" s="15" t="inlineStr">
        <is>
          <t>Post-outbreak</t>
        </is>
      </c>
      <c r="E49" s="15" t="inlineStr">
        <is>
          <t>Solarize, remove plants</t>
        </is>
      </c>
      <c r="F49" s="15" t="inlineStr">
        <is>
          <t>Media reset</t>
        </is>
      </c>
    </row>
    <row r="50">
      <c r="A50" s="20" t="inlineStr">
        <is>
          <t>6. Harvest &amp; Quality</t>
        </is>
      </c>
      <c r="B50" s="15" t="inlineStr">
        <is>
          <t>Maturity</t>
        </is>
      </c>
      <c r="C50" s="15" t="inlineStr">
        <is>
          <t>09</t>
        </is>
      </c>
      <c r="D50" s="15" t="inlineStr">
        <is>
          <t>Per pick</t>
        </is>
      </c>
      <c r="E50" s="15" t="inlineStr">
        <is>
          <t>Green / red per buyer</t>
        </is>
      </c>
      <c r="F50" s="15" t="inlineStr">
        <is>
          <t>Grade logged</t>
        </is>
      </c>
    </row>
    <row r="51">
      <c r="A51" s="20" t="inlineStr">
        <is>
          <t>6. Harvest &amp; Quality</t>
        </is>
      </c>
      <c r="B51" s="15" t="inlineStr">
        <is>
          <t>Harvest</t>
        </is>
      </c>
      <c r="C51" s="15" t="inlineStr">
        <is>
          <t>09</t>
        </is>
      </c>
      <c r="D51" s="15" t="inlineStr">
        <is>
          <t>Daily peak</t>
        </is>
      </c>
      <c r="E51" s="15" t="inlineStr">
        <is>
          <t>Every 1–2 days</t>
        </is>
      </c>
      <c r="F51" s="15" t="inlineStr">
        <is>
          <t>Kg picked</t>
        </is>
      </c>
    </row>
    <row r="52">
      <c r="A52" s="20" t="inlineStr">
        <is>
          <t>6. Harvest &amp; Quality</t>
        </is>
      </c>
      <c r="B52" s="15" t="inlineStr">
        <is>
          <t>Sorting</t>
        </is>
      </c>
      <c r="C52" s="15" t="inlineStr">
        <is>
          <t>09</t>
        </is>
      </c>
      <c r="D52" s="15" t="inlineStr">
        <is>
          <t>Per pick</t>
        </is>
      </c>
      <c r="E52" s="15" t="inlineStr">
        <is>
          <t>Separate grades</t>
        </is>
      </c>
      <c r="F52" s="15" t="inlineStr">
        <is>
          <t>A/B/C kg</t>
        </is>
      </c>
    </row>
    <row r="53">
      <c r="A53" s="20" t="inlineStr">
        <is>
          <t>6. Harvest &amp; Quality</t>
        </is>
      </c>
      <c r="B53" s="15" t="inlineStr">
        <is>
          <t>Grading</t>
        </is>
      </c>
      <c r="C53" s="15" t="inlineStr">
        <is>
          <t>09</t>
        </is>
      </c>
      <c r="D53" s="15" t="inlineStr">
        <is>
          <t>Per pick</t>
        </is>
      </c>
      <c r="E53" s="15" t="inlineStr">
        <is>
          <t>Size, colour, damage</t>
        </is>
      </c>
      <c r="F53" s="15" t="inlineStr">
        <is>
          <t>Grade A &gt;70%</t>
        </is>
      </c>
    </row>
    <row r="54">
      <c r="A54" s="20" t="inlineStr">
        <is>
          <t>6. Harvest &amp; Quality</t>
        </is>
      </c>
      <c r="B54" s="15" t="inlineStr">
        <is>
          <t>Packaging</t>
        </is>
      </c>
      <c r="C54" s="15" t="inlineStr">
        <is>
          <t>09 + 10</t>
        </is>
      </c>
      <c r="D54" s="15" t="inlineStr">
        <is>
          <t>Per sale</t>
        </is>
      </c>
      <c r="E54" s="15" t="inlineStr">
        <is>
          <t>Ventilated, labelled</t>
        </is>
      </c>
      <c r="F54" s="15" t="inlineStr">
        <is>
          <t>No moisture</t>
        </is>
      </c>
    </row>
    <row r="55">
      <c r="A55" s="20" t="inlineStr">
        <is>
          <t>6. Harvest &amp; Quality</t>
        </is>
      </c>
      <c r="B55" s="15" t="inlineStr">
        <is>
          <t>Storage</t>
        </is>
      </c>
      <c r="C55" s="15" t="inlineStr">
        <is>
          <t>09</t>
        </is>
      </c>
      <c r="D55" s="15" t="inlineStr">
        <is>
          <t>Per pick</t>
        </is>
      </c>
      <c r="E55" s="15" t="inlineStr">
        <is>
          <t>Shade, &lt;48 h to sale</t>
        </is>
      </c>
      <c r="F55" s="15" t="inlineStr">
        <is>
          <t>Hours to sale</t>
        </is>
      </c>
    </row>
    <row r="56">
      <c r="A56" s="20" t="inlineStr">
        <is>
          <t>6. Harvest &amp; Quality</t>
        </is>
      </c>
      <c r="B56" s="15" t="inlineStr">
        <is>
          <t>Rejects</t>
        </is>
      </c>
      <c r="C56" s="15" t="inlineStr">
        <is>
          <t>09</t>
        </is>
      </c>
      <c r="D56" s="15" t="inlineStr">
        <is>
          <t>Per pick</t>
        </is>
      </c>
      <c r="E56" s="15" t="inlineStr">
        <is>
          <t>Separate bin</t>
        </is>
      </c>
      <c r="F56" s="15" t="inlineStr">
        <is>
          <t>Reject kg</t>
        </is>
      </c>
    </row>
    <row r="57">
      <c r="A57" s="20" t="inlineStr">
        <is>
          <t>6. Harvest &amp; Quality</t>
        </is>
      </c>
      <c r="B57" s="15" t="inlineStr">
        <is>
          <t>Loss reduction</t>
        </is>
      </c>
      <c r="C57" s="15" t="inlineStr">
        <is>
          <t>09</t>
        </is>
      </c>
      <c r="D57" s="15" t="inlineStr">
        <is>
          <t>Weekly</t>
        </is>
      </c>
      <c r="E57" s="15" t="inlineStr">
        <is>
          <t>Reject % &lt;10%</t>
        </is>
      </c>
      <c r="F57" s="15" t="inlineStr">
        <is>
          <t>Reject rate KPI</t>
        </is>
      </c>
    </row>
    <row r="58">
      <c r="A58" s="22" t="inlineStr">
        <is>
          <t>7. Market &amp; Sales</t>
        </is>
      </c>
      <c r="B58" s="15" t="inlineStr">
        <is>
          <t>Buyers</t>
        </is>
      </c>
      <c r="C58" s="15" t="inlineStr">
        <is>
          <t>10</t>
        </is>
      </c>
      <c r="D58" s="15" t="inlineStr">
        <is>
          <t>Weekly</t>
        </is>
      </c>
      <c r="E58" s="15" t="inlineStr">
        <is>
          <t>Build 2+ relationships</t>
        </is>
      </c>
      <c r="F58" s="15" t="inlineStr">
        <is>
          <t>Buyer count</t>
        </is>
      </c>
    </row>
    <row r="59">
      <c r="A59" s="22" t="inlineStr">
        <is>
          <t>7. Market &amp; Sales</t>
        </is>
      </c>
      <c r="B59" s="15" t="inlineStr">
        <is>
          <t>Price</t>
        </is>
      </c>
      <c r="C59" s="15" t="inlineStr">
        <is>
          <t>10</t>
        </is>
      </c>
      <c r="D59" s="15" t="inlineStr">
        <is>
          <t>Weekly</t>
        </is>
      </c>
      <c r="E59" s="15" t="inlineStr">
        <is>
          <t>Track market rate</t>
        </is>
      </c>
      <c r="F59" s="15" t="inlineStr">
        <is>
          <t>RM/kg</t>
        </is>
      </c>
    </row>
    <row r="60">
      <c r="A60" s="22" t="inlineStr">
        <is>
          <t>7. Market &amp; Sales</t>
        </is>
      </c>
      <c r="B60" s="15" t="inlineStr">
        <is>
          <t>Quantity</t>
        </is>
      </c>
      <c r="C60" s="15" t="inlineStr">
        <is>
          <t>10</t>
        </is>
      </c>
      <c r="D60" s="15" t="inlineStr">
        <is>
          <t>Per sale</t>
        </is>
      </c>
      <c r="E60" s="15" t="inlineStr">
        <is>
          <t>Kg sold</t>
        </is>
      </c>
      <c r="F60" s="15" t="inlineStr">
        <is>
          <t>Total kg</t>
        </is>
      </c>
    </row>
    <row r="61">
      <c r="A61" s="22" t="inlineStr">
        <is>
          <t>7. Market &amp; Sales</t>
        </is>
      </c>
      <c r="B61" s="15" t="inlineStr">
        <is>
          <t>Quality</t>
        </is>
      </c>
      <c r="C61" s="15" t="inlineStr">
        <is>
          <t>10</t>
        </is>
      </c>
      <c r="D61" s="15" t="inlineStr">
        <is>
          <t>Per sale</t>
        </is>
      </c>
      <c r="E61" s="15" t="inlineStr">
        <is>
          <t>Buyer feedback</t>
        </is>
      </c>
      <c r="F61" s="15" t="inlineStr">
        <is>
          <t>Repeat orders</t>
        </is>
      </c>
    </row>
    <row r="62">
      <c r="A62" s="22" t="inlineStr">
        <is>
          <t>7. Market &amp; Sales</t>
        </is>
      </c>
      <c r="B62" s="15" t="inlineStr">
        <is>
          <t>Contracts</t>
        </is>
      </c>
      <c r="C62" s="15" t="inlineStr">
        <is>
          <t>10</t>
        </is>
      </c>
      <c r="D62" s="15" t="inlineStr">
        <is>
          <t>Monthly</t>
        </is>
      </c>
      <c r="E62" s="15" t="inlineStr">
        <is>
          <t>Fixed supply deals</t>
        </is>
      </c>
      <c r="F62" s="15" t="inlineStr">
        <is>
          <t>Contract kg</t>
        </is>
      </c>
    </row>
    <row r="63">
      <c r="A63" s="22" t="inlineStr">
        <is>
          <t>7. Market &amp; Sales</t>
        </is>
      </c>
      <c r="B63" s="15" t="inlineStr">
        <is>
          <t>Restaurants</t>
        </is>
      </c>
      <c r="C63" s="15" t="inlineStr">
        <is>
          <t>10</t>
        </is>
      </c>
      <c r="D63" s="15" t="inlineStr">
        <is>
          <t>Ongoing</t>
        </is>
      </c>
      <c r="E63" s="15" t="inlineStr">
        <is>
          <t>Chef relationships</t>
        </is>
      </c>
      <c r="F63" s="15" t="inlineStr">
        <is>
          <t>Accounts</t>
        </is>
      </c>
    </row>
    <row r="64">
      <c r="A64" s="22" t="inlineStr">
        <is>
          <t>7. Market &amp; Sales</t>
        </is>
      </c>
      <c r="B64" s="15" t="inlineStr">
        <is>
          <t>Wholesalers</t>
        </is>
      </c>
      <c r="C64" s="15" t="inlineStr">
        <is>
          <t>10</t>
        </is>
      </c>
      <c r="D64" s="15" t="inlineStr">
        <is>
          <t>Ongoing</t>
        </is>
      </c>
      <c r="E64" s="15" t="inlineStr">
        <is>
          <t>Volume buyers</t>
        </is>
      </c>
      <c r="F64" s="15" t="inlineStr">
        <is>
          <t>Accounts</t>
        </is>
      </c>
    </row>
    <row r="65">
      <c r="A65" s="22" t="inlineStr">
        <is>
          <t>7. Market &amp; Sales</t>
        </is>
      </c>
      <c r="B65" s="15" t="inlineStr">
        <is>
          <t>Direct sales</t>
        </is>
      </c>
      <c r="C65" s="15" t="inlineStr">
        <is>
          <t>10</t>
        </is>
      </c>
      <c r="D65" s="15" t="inlineStr">
        <is>
          <t>Ongoing</t>
        </is>
      </c>
      <c r="E65" s="15" t="inlineStr">
        <is>
          <t>Farm gate / online</t>
        </is>
      </c>
      <c r="F65" s="15" t="inlineStr">
        <is>
          <t>Margin %</t>
        </is>
      </c>
    </row>
    <row r="66">
      <c r="A66" s="22" t="inlineStr">
        <is>
          <t>7. Market &amp; Sales</t>
        </is>
      </c>
      <c r="B66" s="15" t="inlineStr">
        <is>
          <t>Multiple buyers</t>
        </is>
      </c>
      <c r="C66" s="15" t="inlineStr">
        <is>
          <t>10</t>
        </is>
      </c>
      <c r="D66" s="15" t="inlineStr">
        <is>
          <t>Ongoing</t>
        </is>
      </c>
      <c r="E66" s="15" t="inlineStr">
        <is>
          <t>No single-buyer risk</t>
        </is>
      </c>
      <c r="F66" s="15" t="inlineStr">
        <is>
          <t>≥2 active</t>
        </is>
      </c>
    </row>
    <row r="67">
      <c r="A67" s="21" t="inlineStr">
        <is>
          <t>8. Data &amp; Technology</t>
        </is>
      </c>
      <c r="B67" s="15" t="inlineStr">
        <is>
          <t>Farm database</t>
        </is>
      </c>
      <c r="C67" s="15" t="inlineStr">
        <is>
          <t>All sheets</t>
        </is>
      </c>
      <c r="D67" s="15" t="inlineStr">
        <is>
          <t>Ongoing</t>
        </is>
      </c>
      <c r="E67" s="15" t="inlineStr">
        <is>
          <t>This workbook</t>
        </is>
      </c>
      <c r="F67" s="15" t="inlineStr">
        <is>
          <t>Complete logs</t>
        </is>
      </c>
    </row>
    <row r="68">
      <c r="A68" s="21" t="inlineStr">
        <is>
          <t>8. Data &amp; Technology</t>
        </is>
      </c>
      <c r="B68" s="15" t="inlineStr">
        <is>
          <t>Input tracking</t>
        </is>
      </c>
      <c r="C68" s="15" t="inlineStr">
        <is>
          <t>06 + 07</t>
        </is>
      </c>
      <c r="D68" s="15" t="inlineStr">
        <is>
          <t>Per purchase</t>
        </is>
      </c>
      <c r="E68" s="15" t="inlineStr">
        <is>
          <t>Every RM spent</t>
        </is>
      </c>
      <c r="F68" s="15" t="inlineStr">
        <is>
          <t>OPEX total</t>
        </is>
      </c>
    </row>
    <row r="69">
      <c r="A69" s="21" t="inlineStr">
        <is>
          <t>8. Data &amp; Technology</t>
        </is>
      </c>
      <c r="B69" s="15" t="inlineStr">
        <is>
          <t>Yield tracking</t>
        </is>
      </c>
      <c r="C69" s="15" t="inlineStr">
        <is>
          <t>09</t>
        </is>
      </c>
      <c r="D69" s="15" t="inlineStr">
        <is>
          <t>Per pick</t>
        </is>
      </c>
      <c r="E69" s="15" t="inlineStr">
        <is>
          <t>Every kg picked</t>
        </is>
      </c>
      <c r="F69" s="15" t="inlineStr">
        <is>
          <t>Yield/plant</t>
        </is>
      </c>
    </row>
    <row r="70">
      <c r="A70" s="21" t="inlineStr">
        <is>
          <t>8. Data &amp; Technology</t>
        </is>
      </c>
      <c r="B70" s="15" t="inlineStr">
        <is>
          <t>Cost tracking</t>
        </is>
      </c>
      <c r="C70" s="15" t="inlineStr">
        <is>
          <t>06</t>
        </is>
      </c>
      <c r="D70" s="15" t="inlineStr">
        <is>
          <t>Per purchase</t>
        </is>
      </c>
      <c r="E70" s="15" t="inlineStr">
        <is>
          <t>Every expense</t>
        </is>
      </c>
      <c r="F70" s="15" t="inlineStr">
        <is>
          <t>Cost/kg</t>
        </is>
      </c>
    </row>
    <row r="71">
      <c r="A71" s="21" t="inlineStr">
        <is>
          <t>8. Data &amp; Technology</t>
        </is>
      </c>
      <c r="B71" s="15" t="inlineStr">
        <is>
          <t>Weather</t>
        </is>
      </c>
      <c r="C71" s="15" t="inlineStr">
        <is>
          <t>03_WEEKLY</t>
        </is>
      </c>
      <c r="D71" s="15" t="inlineStr">
        <is>
          <t>Weekly</t>
        </is>
      </c>
      <c r="E71" s="15" t="inlineStr">
        <is>
          <t>Rain, temp, humidity</t>
        </is>
      </c>
      <c r="F71" s="15" t="inlineStr">
        <is>
          <t>Logged</t>
        </is>
      </c>
    </row>
    <row r="72">
      <c r="A72" s="21" t="inlineStr">
        <is>
          <t>8. Data &amp; Technology</t>
        </is>
      </c>
      <c r="B72" s="15" t="inlineStr">
        <is>
          <t>Pest records</t>
        </is>
      </c>
      <c r="C72" s="15" t="inlineStr">
        <is>
          <t>08</t>
        </is>
      </c>
      <c r="D72" s="15" t="inlineStr">
        <is>
          <t>As found</t>
        </is>
      </c>
      <c r="E72" s="15" t="inlineStr">
        <is>
          <t>Every incident</t>
        </is>
      </c>
      <c r="F72" s="15" t="inlineStr">
        <is>
          <t>Pest log</t>
        </is>
      </c>
    </row>
    <row r="73">
      <c r="A73" s="21" t="inlineStr">
        <is>
          <t>8. Data &amp; Technology</t>
        </is>
      </c>
      <c r="B73" s="15" t="inlineStr">
        <is>
          <t>Dashboard</t>
        </is>
      </c>
      <c r="C73" s="15" t="inlineStr">
        <is>
          <t>01_DASHBOARD</t>
        </is>
      </c>
      <c r="D73" s="15" t="inlineStr">
        <is>
          <t>Weekly</t>
        </is>
      </c>
      <c r="E73" s="15" t="inlineStr">
        <is>
          <t>Review KPIs</t>
        </is>
      </c>
      <c r="F73" s="15" t="inlineStr">
        <is>
          <t>Health scores</t>
        </is>
      </c>
    </row>
    <row r="74">
      <c r="A74" s="21" t="inlineStr">
        <is>
          <t>8. Data &amp; Technology</t>
        </is>
      </c>
      <c r="B74" s="15" t="inlineStr">
        <is>
          <t>Analytics</t>
        </is>
      </c>
      <c r="C74" s="15" t="inlineStr">
        <is>
          <t>01_DASHBOARD</t>
        </is>
      </c>
      <c r="D74" s="15" t="inlineStr">
        <is>
          <t>Monthly</t>
        </is>
      </c>
      <c r="E74" s="15" t="inlineStr">
        <is>
          <t>Trends cycle vs cycle</t>
        </is>
      </c>
      <c r="F74" s="15" t="inlineStr">
        <is>
          <t>Improve %</t>
        </is>
      </c>
    </row>
    <row r="75">
      <c r="A75" s="21" t="inlineStr">
        <is>
          <t>8. Data &amp; Technology</t>
        </is>
      </c>
      <c r="B75" s="15" t="inlineStr">
        <is>
          <t>Experiments</t>
        </is>
      </c>
      <c r="C75" s="15" t="inlineStr">
        <is>
          <t>05 + 07</t>
        </is>
      </c>
      <c r="D75" s="15" t="inlineStr">
        <is>
          <t>Per trial</t>
        </is>
      </c>
      <c r="E75" s="15" t="inlineStr">
        <is>
          <t>Tagged &amp; compared</t>
        </is>
      </c>
      <c r="F75" s="15" t="inlineStr">
        <is>
          <t>Winner chosen</t>
        </is>
      </c>
    </row>
    <row r="76">
      <c r="A76" s="24" t="inlineStr">
        <is>
          <t>9. Scaling</t>
        </is>
      </c>
      <c r="B76" s="15" t="inlineStr">
        <is>
          <t>Start small</t>
        </is>
      </c>
      <c r="C76" s="15" t="inlineStr">
        <is>
          <t>11_SCALING</t>
        </is>
      </c>
      <c r="D76" s="15" t="inlineStr">
        <is>
          <t>Phase 0</t>
        </is>
      </c>
      <c r="E76" s="15" t="inlineStr">
        <is>
          <t>10–20 bags first</t>
        </is>
      </c>
      <c r="F76" s="15" t="inlineStr">
        <is>
          <t>Pilot done</t>
        </is>
      </c>
    </row>
    <row r="77">
      <c r="A77" s="24" t="inlineStr">
        <is>
          <t>9. Scaling</t>
        </is>
      </c>
      <c r="B77" s="15" t="inlineStr">
        <is>
          <t>Baseline</t>
        </is>
      </c>
      <c r="C77" s="15" t="inlineStr">
        <is>
          <t>11_SCALING</t>
        </is>
      </c>
      <c r="D77" s="15" t="inlineStr">
        <is>
          <t>Phase 1</t>
        </is>
      </c>
      <c r="E77" s="15" t="inlineStr">
        <is>
          <t>Record everything</t>
        </is>
      </c>
      <c r="F77" s="15" t="inlineStr">
        <is>
          <t>Baseline set</t>
        </is>
      </c>
    </row>
    <row r="78">
      <c r="A78" s="24" t="inlineStr">
        <is>
          <t>9. Scaling</t>
        </is>
      </c>
      <c r="B78" s="15" t="inlineStr">
        <is>
          <t>Measure</t>
        </is>
      </c>
      <c r="C78" s="15" t="inlineStr">
        <is>
          <t>01_DASHBOARD</t>
        </is>
      </c>
      <c r="D78" s="15" t="inlineStr">
        <is>
          <t>Phase 2</t>
        </is>
      </c>
      <c r="E78" s="15" t="inlineStr">
        <is>
          <t>KPIs tracked</t>
        </is>
      </c>
      <c r="F78" s="15" t="inlineStr">
        <is>
          <t>Data complete</t>
        </is>
      </c>
    </row>
    <row r="79">
      <c r="A79" s="24" t="inlineStr">
        <is>
          <t>9. Scaling</t>
        </is>
      </c>
      <c r="B79" s="15" t="inlineStr">
        <is>
          <t>Improve</t>
        </is>
      </c>
      <c r="C79" s="15" t="inlineStr">
        <is>
          <t>11_SCALING</t>
        </is>
      </c>
      <c r="D79" s="15" t="inlineStr">
        <is>
          <t>Phase 3</t>
        </is>
      </c>
      <c r="E79" s="15" t="inlineStr">
        <is>
          <t>Fix top 3 issues</t>
        </is>
      </c>
      <c r="F79" s="15" t="inlineStr">
        <is>
          <t>SOP v2</t>
        </is>
      </c>
    </row>
    <row r="80">
      <c r="A80" s="24" t="inlineStr">
        <is>
          <t>9. Scaling</t>
        </is>
      </c>
      <c r="B80" s="15" t="inlineStr">
        <is>
          <t>Repeat</t>
        </is>
      </c>
      <c r="C80" s="15" t="inlineStr">
        <is>
          <t>11_SCALING</t>
        </is>
      </c>
      <c r="D80" s="15" t="inlineStr">
        <is>
          <t>Phase 4</t>
        </is>
      </c>
      <c r="E80" s="15" t="inlineStr">
        <is>
          <t>Cycle 2 at scale</t>
        </is>
      </c>
      <c r="F80" s="15" t="inlineStr">
        <is>
          <t>Compared</t>
        </is>
      </c>
    </row>
    <row r="81">
      <c r="A81" s="24" t="inlineStr">
        <is>
          <t>9. Scaling</t>
        </is>
      </c>
      <c r="B81" s="15" t="inlineStr">
        <is>
          <t>Prove profit</t>
        </is>
      </c>
      <c r="C81" s="15" t="inlineStr">
        <is>
          <t>01_DASHBOARD</t>
        </is>
      </c>
      <c r="D81" s="15" t="inlineStr">
        <is>
          <t>Phase 5</t>
        </is>
      </c>
      <c r="E81" s="15" t="inlineStr">
        <is>
          <t>2 profitable cycles</t>
        </is>
      </c>
      <c r="F81" s="15" t="inlineStr">
        <is>
          <t>Profit &gt;0</t>
        </is>
      </c>
    </row>
    <row r="82">
      <c r="A82" s="24" t="inlineStr">
        <is>
          <t>9. Scaling</t>
        </is>
      </c>
      <c r="B82" s="15" t="inlineStr">
        <is>
          <t>SOP</t>
        </is>
      </c>
      <c r="C82" s="15" t="inlineStr">
        <is>
          <t>11_SCALING</t>
        </is>
      </c>
      <c r="D82" s="15" t="inlineStr">
        <is>
          <t>Phase 6</t>
        </is>
      </c>
      <c r="E82" s="15" t="inlineStr">
        <is>
          <t>Document all tasks</t>
        </is>
      </c>
      <c r="F82" s="15" t="inlineStr">
        <is>
          <t>SOP written</t>
        </is>
      </c>
    </row>
    <row r="83">
      <c r="A83" s="24" t="inlineStr">
        <is>
          <t>9. Scaling</t>
        </is>
      </c>
      <c r="B83" s="15" t="inlineStr">
        <is>
          <t>Expand</t>
        </is>
      </c>
      <c r="C83" s="15" t="inlineStr">
        <is>
          <t>11_SCALING</t>
        </is>
      </c>
      <c r="D83" s="15" t="inlineStr">
        <is>
          <t>Phase 7</t>
        </is>
      </c>
      <c r="E83" s="15" t="inlineStr">
        <is>
          <t>Double bags</t>
        </is>
      </c>
      <c r="F83" s="15" t="inlineStr">
        <is>
          <t>Survival &gt;90%</t>
        </is>
      </c>
    </row>
    <row r="84">
      <c r="A84" s="24" t="inlineStr">
        <is>
          <t>9. Scaling</t>
        </is>
      </c>
      <c r="B84" s="15" t="inlineStr">
        <is>
          <t>Replicate</t>
        </is>
      </c>
      <c r="C84" s="15" t="inlineStr">
        <is>
          <t>11_SCALING</t>
        </is>
      </c>
      <c r="D84" s="15" t="inlineStr">
        <is>
          <t>Phase 8</t>
        </is>
      </c>
      <c r="E84" s="15" t="inlineStr">
        <is>
          <t>New site/partner</t>
        </is>
      </c>
      <c r="F84" s="15" t="inlineStr">
        <is>
          <t>Same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2026-08-30T14:04:10Z</dcterms:created>
  <dcterms:modified xsi:type="dcterms:W3CDTF">2026-08-30T14:04:10Z</dcterms:modified>
</cp:coreProperties>
</file>